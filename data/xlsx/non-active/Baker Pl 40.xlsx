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<sst xmlns="http://schemas.openxmlformats.org/spreadsheetml/2006/main" count="51" uniqueCount="29">
  <si>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</si>
  <si>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</si>
  <si>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</si>
  <si>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</si>
  <si>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</si>
  <si>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</si>
  <si>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</si>
  <si>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</si>
  <si>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</si>
  <si>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</si>
  <si>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</si>
  <si>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</si>
  <si>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</si>
  <si>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</si>
  <si>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</si>
  <si>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</si>
  <si>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40 Baker Place</t>
  </si>
  <si>
    <t>https://www.zillow.com/homedetails/40-Baker-Pl-Asheville-NC-28806/5604316_zpid/</t>
  </si>
  <si>
    <t>Current List Price</t>
  </si>
  <si>
    <t>Week Ending In</t>
  </si>
  <si>
    <t>No. Leads</t>
  </si>
  <si>
    <t>Pre-Qualified Leads</t>
  </si>
  <si>
    <t>Scheduled Showngs</t>
  </si>
  <si>
    <t xml:space="preserve">
The unit has great interest right out of the gate. I will begin scheduling appointments this week, and will touch base with you to determine times that work with your schedule.
</t>
  </si>
  <si>
    <t xml:space="preserve">
Showings were abundant this past week with lots of potential applicants to follow up with. All questions have been communicated, so I will be sure to follow up with everyone by end of the day tomorrow. 
The updates are coming along great and the unit is showing better with each day!
One prospect who viewed the property the first day is very interested, but they need an October 1st move in date. By what date would you consider that as an option if we do not receive a quality application? 
We have a couple more showings scheduled for this week, so with all this activity, I am hoping we receive a qulity candidate soon. Will keep you posted!
</t>
  </si>
  <si>
    <t xml:space="preserve">
We continue to get solid activity on the unit. Since I spoke to you earlier today, we have two more people requesting a tour. I think the momentum is good and I am hoping to give you good news soon. 
</t>
  </si>
  <si>
    <t xml:space="preserve">
I know we just spoke at length, but to reinforce some points, I have to think a price drop might be necessary if we do not receive an application by next week. I would suggest $1900, but we could do it more gradually if you prefer. 
I updated Zac on our discussion of terms and he is going to talk to his spouse and let me know asap. Will update you immediately. 
</t>
  </si>
  <si>
    <r>
      <rPr>
        <rFont val="Arial"/>
        <b/>
        <color theme="1"/>
      </rPr>
      <t xml:space="preserve">Facebook: </t>
    </r>
    <r>
      <rPr>
        <rFont val="Arial"/>
        <b val="0"/>
        <color theme="1"/>
      </rPr>
      <t>136 clicks on listing, 3 saves, 1 conversation</t>
    </r>
  </si>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</sst>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9" numFmtId="0" xfId="0" applyAlignment="1" applyFont="1">
      <alignment horizontal="center"/>
    </xf>
    <xf borderId="24" fillId="0" fontId="9" numFmtId="0" xfId="0" applyAlignment="1" applyBorder="1" applyFont="1">
      <alignment horizontal="left" readingOrder="0" shrinkToFit="0" wrapText="1"/>
    </xf>
    <xf borderId="0" fillId="0" fontId="13" numFmtId="0" xfId="0" applyAlignment="1" applyFont="1">
      <alignment readingOrder="0"/>
    </xf>
    <xf borderId="23" fillId="0" fontId="9" numFmtId="0" xfId="0" applyAlignment="1" applyBorder="1" applyFont="1">
      <alignment horizontal="center"/>
    </xf>
    <xf borderId="24" fillId="0" fontId="13" numFmtId="0" xfId="0" applyAlignment="1" applyBorder="1" applyFont="1">
      <alignment horizontal="left" readingOrder="0" shrinkToFit="0" wrapText="1"/>
    </xf>
    <xf borderId="24" fillId="0" fontId="9" numFmtId="0" xfId="0" applyAlignment="1" applyBorder="1" applyFont="1">
      <alignment horizontal="left" shrinkToFit="0" wrapText="1"/>
    </xf>
    <xf borderId="0" fillId="0" fontId="9" numFmtId="164" xfId="0" applyFont="1" applyNumberFormat="1"/>
    <xf borderId="0" fillId="0" fontId="9" numFmtId="0" xfId="0" applyFont="1"/>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0-Baker-Pl-Asheville-NC-28806/5604316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40 Baker Place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August 23,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4</v>
      </c>
      <c r="C6" s="12" t="str">
        <f>IFERROR(__xludf.DUMMYFUNCTION("IF(COUNTUNIQUE('Data Entry'!B:B)&lt;2, """", TEXT(XLOOKUP(MAX('Data Entry'!B:B), 'Data Entry'!B:B, 'Data Entry'!C:C, 0, FALSE, -1) - IFERROR(XLOOKUP(LARGE(UNIQUE('Data Entry'!B:B), 2), 'Data Entry'!B:B, 'Data Entry'!C:C, 0, FALSE, -1), 0), ""+0;-0;0""))"),"-3")</f>
        <v>-3</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4</v>
      </c>
      <c r="C7" s="12" t="str">
        <f>IFERROR(__xludf.DUMMYFUNCTION("IF(COUNTUNIQUE('Data Entry'!B:B)&lt;2, """", TEXT(XLOOKUP(MAX('Data Entry'!B:B), 'Data Entry'!B:B, 'Data Entry'!D:D, 0, FALSE, -1) - IFERROR(XLOOKUP(LARGE(UNIQUE('Data Entry'!B:B), 2), 'Data Entry'!B:B, 'Data Entry'!D:D, 0, FALSE, -1), 0), ""+0;-0;0""))"),"-1")</f>
        <v>-1</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4</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2</v>
      </c>
      <c r="C9" s="12" t="str">
        <f>IFERROR(__xludf.DUMMYFUNCTION("IF(COUNTUNIQUE('Data Entry'!B:B)&lt;2, """", TEXT(XLOOKUP(MAX('Data Entry'!B:B), 'Data Entry'!B:B, 'Data Entry'!F:F, 0, FALSE, -1) - IFERROR(XLOOKUP(LARGE(UNIQUE('Data Entry'!B:B), 2), 'Data Entry'!B:B, 'Data Entry'!F:F, 0, FALSE, -1), 0), ""+0;-0;0""))"),"-2")</f>
        <v>-2</v>
      </c>
      <c r="D9" s="7"/>
      <c r="E9" s="7"/>
      <c r="F9" s="4"/>
      <c r="G9" s="4"/>
      <c r="H9" s="4"/>
      <c r="I9" s="4"/>
      <c r="J9" s="4"/>
      <c r="K9" s="4"/>
      <c r="L9" s="4"/>
      <c r="M9" s="4"/>
      <c r="N9" s="4"/>
      <c r="O9" s="4"/>
      <c r="P9" s="4"/>
      <c r="Q9" s="4"/>
      <c r="R9" s="4"/>
      <c r="S9" s="4"/>
      <c r="T9" s="4"/>
      <c r="U9" s="4"/>
      <c r="V9" s="4"/>
      <c r="W9" s="4"/>
    </row>
    <row r="10">
      <c r="A10" s="13" t="s">
        <v>8</v>
      </c>
      <c r="B10" s="14" t="str">
        <f t="array" ref="B10">XLOOKUP(MAX('Data Entry'!B:B), 'Data Entry'!B:B, 'Data Entry'!G:G, "No Data Yet", FALSE, -1)</f>
        <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
I know we just spoke at length, but to reinforce some points, I have to think a price drop might be necessary if we do not receive an application by next week. I would suggest $1900, but we could do it more gradually if you prefer. 
I updated Zac on our discussion of terms and he is going to talk to his spouse and let me know asap. Will update you immediately.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34</v>
      </c>
      <c r="C18" s="24">
        <f>'Data Entry'!K11</f>
        <v>8.5</v>
      </c>
      <c r="D18" s="7"/>
      <c r="E18" s="7"/>
      <c r="F18" s="4"/>
      <c r="G18" s="4"/>
      <c r="H18" s="4"/>
      <c r="I18" s="4"/>
      <c r="J18" s="4"/>
      <c r="K18" s="4"/>
      <c r="L18" s="4"/>
      <c r="M18" s="4"/>
      <c r="N18" s="4"/>
      <c r="O18" s="4"/>
      <c r="P18" s="4"/>
      <c r="Q18" s="4"/>
      <c r="R18" s="4"/>
      <c r="S18" s="4"/>
      <c r="T18" s="4"/>
      <c r="U18" s="4"/>
      <c r="V18" s="4"/>
      <c r="W18" s="4"/>
    </row>
    <row r="19">
      <c r="A19" s="5" t="s">
        <v>5</v>
      </c>
      <c r="B19" s="23">
        <f>'Data Entry'!K5</f>
        <v>26</v>
      </c>
      <c r="C19" s="24">
        <f>'Data Entry'!K12</f>
        <v>6.5</v>
      </c>
      <c r="D19" s="7"/>
      <c r="E19" s="7"/>
      <c r="F19" s="4"/>
      <c r="G19" s="4"/>
      <c r="H19" s="4"/>
      <c r="I19" s="4"/>
      <c r="J19" s="4"/>
      <c r="K19" s="4"/>
      <c r="L19" s="4"/>
      <c r="M19" s="4"/>
      <c r="N19" s="4"/>
      <c r="O19" s="4"/>
      <c r="P19" s="4"/>
      <c r="Q19" s="4"/>
      <c r="R19" s="4"/>
      <c r="S19" s="4"/>
      <c r="T19" s="4"/>
      <c r="U19" s="4"/>
      <c r="V19" s="4"/>
      <c r="W19" s="4"/>
    </row>
    <row r="20">
      <c r="A20" s="5" t="s">
        <v>6</v>
      </c>
      <c r="B20" s="23">
        <f>'Data Entry'!K6</f>
        <v>18</v>
      </c>
      <c r="C20" s="24">
        <f>'Data Entry'!K13</f>
        <v>4.5</v>
      </c>
      <c r="D20" s="7"/>
      <c r="E20" s="7"/>
      <c r="F20" s="4"/>
      <c r="G20" s="4"/>
      <c r="H20" s="4"/>
      <c r="I20" s="4"/>
      <c r="J20" s="4"/>
      <c r="K20" s="4"/>
      <c r="L20" s="4"/>
      <c r="M20" s="4"/>
      <c r="N20" s="4"/>
      <c r="O20" s="4"/>
      <c r="P20" s="4"/>
      <c r="Q20" s="4"/>
      <c r="R20" s="4"/>
      <c r="S20" s="4"/>
      <c r="T20" s="4"/>
      <c r="U20" s="4"/>
      <c r="V20" s="4"/>
      <c r="W20" s="4"/>
    </row>
    <row r="21">
      <c r="A21" s="5" t="s">
        <v>7</v>
      </c>
      <c r="B21" s="23">
        <f>'Data Entry'!K7</f>
        <v>15</v>
      </c>
      <c r="C21" s="24">
        <f>'Data Entry'!K14</f>
        <v>3.75</v>
      </c>
      <c r="D21" s="7"/>
      <c r="E21" s="7"/>
      <c r="F21" s="4"/>
      <c r="G21" s="4"/>
      <c r="H21" s="4"/>
      <c r="I21" s="4"/>
      <c r="J21" s="4"/>
      <c r="K21" s="4"/>
      <c r="L21" s="4"/>
      <c r="M21" s="4"/>
      <c r="N21" s="4"/>
      <c r="O21" s="4"/>
      <c r="P21" s="4"/>
      <c r="Q21" s="4"/>
      <c r="R21" s="4"/>
      <c r="S21" s="4"/>
      <c r="T21" s="4"/>
      <c r="U21" s="4"/>
      <c r="V21" s="4"/>
      <c r="W21" s="4"/>
    </row>
    <row r="22">
      <c r="A22" s="5" t="s">
        <v>8</v>
      </c>
      <c r="B22" s="23">
        <f>'Data Entry'!K8</f>
        <v>0</v>
      </c>
      <c r="C22" s="23" t="str">
        <f>'Data Entry'!K15</f>
        <v>#DIV/0!</v>
      </c>
      <c r="D22" s="7"/>
      <c r="E22" s="7"/>
      <c r="F22" s="4"/>
      <c r="G22" s="4"/>
      <c r="H22" s="4"/>
      <c r="I22" s="4"/>
      <c r="J22" s="4"/>
      <c r="K22" s="4"/>
      <c r="L22" s="4"/>
      <c r="M22" s="4"/>
      <c r="N22" s="4"/>
      <c r="O22" s="4"/>
      <c r="P22" s="4"/>
      <c r="Q22" s="4"/>
      <c r="R22" s="4"/>
      <c r="S22" s="4"/>
      <c r="T22" s="4"/>
      <c r="U22" s="4"/>
      <c r="V22" s="4"/>
      <c r="W22" s="4"/>
    </row>
    <row r="23">
      <c r="A23" s="13" t="s">
        <v>13</v>
      </c>
      <c r="B23" s="25">
        <f>'Data Entry'!D2</f>
        <v>25</v>
      </c>
      <c r="C23" s="3"/>
      <c r="D23" s="7"/>
      <c r="E23" s="7"/>
      <c r="F23" s="4"/>
      <c r="G23" s="4"/>
      <c r="H23" s="4"/>
      <c r="I23" s="4"/>
      <c r="J23" s="4"/>
      <c r="K23" s="4"/>
      <c r="L23" s="4"/>
      <c r="M23" s="4"/>
      <c r="N23" s="4"/>
      <c r="O23" s="4"/>
      <c r="P23" s="4"/>
      <c r="Q23" s="4"/>
      <c r="R23" s="4"/>
      <c r="S23" s="4"/>
      <c r="T23" s="4"/>
      <c r="U23" s="4"/>
      <c r="V23" s="4"/>
      <c r="W23" s="4"/>
    </row>
    <row r="24">
      <c r="A24" s="5" t="s">
        <v>14</v>
      </c>
      <c r="B24" s="26">
        <f>'Data Entry'!D3</f>
        <v>2000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https://www.zillow.com/homedetails/40-Baker-Pl-Asheville-NC-28806/5604316_zpid/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25.0</v>
      </c>
      <c r="E2" s="34"/>
      <c r="F2" s="32" t="s">
        <v>15</v>
      </c>
      <c r="G2" s="35" t="s">
        <v>17</v>
      </c>
      <c r="H2" s="34"/>
      <c r="J2" s="36"/>
      <c r="K2" s="37"/>
    </row>
    <row r="3">
      <c r="B3" s="31"/>
      <c r="C3" s="38" t="s">
        <v>18</v>
      </c>
      <c r="D3" s="39">
        <v>2000.0</v>
      </c>
      <c r="E3" s="40"/>
      <c r="F3" s="31"/>
      <c r="G3" s="31"/>
      <c r="H3" s="41"/>
      <c r="J3" s="36"/>
      <c r="K3" s="37"/>
    </row>
    <row r="4">
      <c r="B4" s="42" t="s">
        <v>19</v>
      </c>
      <c r="C4" s="43" t="s">
        <v>20</v>
      </c>
      <c r="D4" s="43" t="s">
        <v>21</v>
      </c>
      <c r="E4" s="43" t="s">
        <v>22</v>
      </c>
      <c r="F4" s="43" t="s">
        <v>7</v>
      </c>
      <c r="G4" s="43" t="s">
        <v>8</v>
      </c>
      <c r="H4" s="44" t="s">
        <v>9</v>
      </c>
      <c r="J4" s="36" t="s">
        <v>4</v>
      </c>
      <c r="K4" s="37">
        <f>SUM(C5:C100)</f>
        <v>34</v>
      </c>
    </row>
    <row r="5">
      <c r="B5" s="45">
        <v>45871.0</v>
      </c>
      <c r="C5" s="31">
        <v>13.0</v>
      </c>
      <c r="D5" s="31">
        <v>7.0</v>
      </c>
      <c r="E5" s="31">
        <v>0.0</v>
      </c>
      <c r="F5" s="31">
        <v>0.0</v>
      </c>
      <c r="G5" s="46"/>
      <c r="H5" s="47" t="s">
        <v>23</v>
      </c>
      <c r="J5" s="36" t="s">
        <v>5</v>
      </c>
      <c r="K5" s="37">
        <f>SUM(D5:D100)</f>
        <v>26</v>
      </c>
    </row>
    <row r="6">
      <c r="B6" s="45">
        <v>45878.0</v>
      </c>
      <c r="C6" s="31">
        <v>10.0</v>
      </c>
      <c r="D6" s="31">
        <v>10.0</v>
      </c>
      <c r="E6" s="31">
        <v>10.0</v>
      </c>
      <c r="F6" s="31">
        <v>9.0</v>
      </c>
      <c r="G6" s="46"/>
      <c r="H6" s="47" t="s">
        <v>24</v>
      </c>
      <c r="J6" s="36" t="s">
        <v>6</v>
      </c>
      <c r="K6" s="37">
        <f>SUM(E:E)</f>
        <v>18</v>
      </c>
    </row>
    <row r="7">
      <c r="B7" s="45">
        <v>45885.0</v>
      </c>
      <c r="C7" s="31">
        <v>7.0</v>
      </c>
      <c r="D7" s="31">
        <v>5.0</v>
      </c>
      <c r="E7" s="31">
        <v>4.0</v>
      </c>
      <c r="F7" s="31">
        <v>4.0</v>
      </c>
      <c r="G7" s="46"/>
      <c r="H7" s="47" t="s">
        <v>25</v>
      </c>
      <c r="J7" s="36" t="s">
        <v>7</v>
      </c>
      <c r="K7" s="37">
        <f>SUM(F5:F100)</f>
        <v>15</v>
      </c>
    </row>
    <row r="8">
      <c r="B8" s="45">
        <v>45892.0</v>
      </c>
      <c r="C8" s="31">
        <v>4.0</v>
      </c>
      <c r="D8" s="31">
        <v>4.0</v>
      </c>
      <c r="E8" s="31">
        <v>4.0</v>
      </c>
      <c r="F8" s="31">
        <v>2.0</v>
      </c>
      <c r="G8" s="46"/>
      <c r="H8" s="47" t="s">
        <v>26</v>
      </c>
      <c r="J8" s="48" t="s">
        <v>8</v>
      </c>
      <c r="K8" s="37">
        <f>SUM(G5:G100)</f>
        <v>0</v>
      </c>
    </row>
    <row r="9">
      <c r="B9" s="49"/>
      <c r="C9" s="46"/>
      <c r="D9" s="46"/>
      <c r="E9" s="46"/>
      <c r="F9" s="46"/>
      <c r="G9" s="46"/>
      <c r="H9" s="50" t="s">
        <v>27</v>
      </c>
      <c r="K9" s="37"/>
    </row>
    <row r="10">
      <c r="B10" s="49"/>
      <c r="C10" s="46"/>
      <c r="D10" s="46"/>
      <c r="E10" s="46"/>
      <c r="F10" s="46"/>
      <c r="G10" s="46"/>
      <c r="H10" s="51"/>
      <c r="J10" s="30" t="s">
        <v>28</v>
      </c>
    </row>
    <row r="11">
      <c r="B11" s="49"/>
      <c r="C11" s="46"/>
      <c r="D11" s="46"/>
      <c r="E11" s="46"/>
      <c r="F11" s="46"/>
      <c r="G11" s="46"/>
      <c r="H11" s="51"/>
      <c r="J11" s="36" t="s">
        <v>4</v>
      </c>
      <c r="K11" s="52">
        <f>AVERAGE(C5:C100)</f>
        <v>8.5</v>
      </c>
    </row>
    <row r="12">
      <c r="B12" s="49"/>
      <c r="C12" s="46"/>
      <c r="D12" s="46"/>
      <c r="E12" s="46"/>
      <c r="F12" s="46"/>
      <c r="G12" s="46"/>
      <c r="H12" s="51"/>
      <c r="J12" s="36" t="s">
        <v>5</v>
      </c>
      <c r="K12" s="52">
        <f>AVERAGE(D5:D100)</f>
        <v>6.5</v>
      </c>
    </row>
    <row r="13">
      <c r="B13" s="49"/>
      <c r="C13" s="46"/>
      <c r="D13" s="46"/>
      <c r="E13" s="46"/>
      <c r="F13" s="46"/>
      <c r="G13" s="46"/>
      <c r="H13" s="51"/>
      <c r="J13" s="36" t="s">
        <v>6</v>
      </c>
      <c r="K13" s="52">
        <f>AVERAGE(E5:E100)</f>
        <v>4.5</v>
      </c>
    </row>
    <row r="14">
      <c r="B14" s="49"/>
      <c r="C14" s="46"/>
      <c r="D14" s="46"/>
      <c r="E14" s="46"/>
      <c r="F14" s="46"/>
      <c r="G14" s="46"/>
      <c r="H14" s="51"/>
      <c r="J14" s="36" t="s">
        <v>7</v>
      </c>
      <c r="K14" s="52">
        <f>AVERAGE(F5:F100)</f>
        <v>3.75</v>
      </c>
    </row>
    <row r="15">
      <c r="B15" s="49"/>
      <c r="C15" s="46"/>
      <c r="D15" s="46"/>
      <c r="E15" s="46"/>
      <c r="F15" s="46"/>
      <c r="G15" s="46"/>
      <c r="H15" s="51"/>
      <c r="J15" s="48" t="s">
        <v>8</v>
      </c>
      <c r="K15" s="53" t="str">
        <f>AVERAGE(G5:G100)</f>
        <v>#DIV/0!</v>
      </c>
    </row>
    <row r="16">
      <c r="B16" s="49"/>
      <c r="C16" s="46"/>
      <c r="D16" s="46"/>
      <c r="E16" s="46"/>
      <c r="F16" s="46"/>
      <c r="G16" s="46"/>
      <c r="H16" s="51"/>
    </row>
    <row r="17">
      <c r="B17" s="49"/>
      <c r="C17" s="46"/>
      <c r="D17" s="46"/>
      <c r="E17" s="46"/>
      <c r="F17" s="46"/>
      <c r="G17" s="46"/>
      <c r="H17" s="51"/>
    </row>
    <row r="18">
      <c r="B18" s="49"/>
      <c r="C18" s="46"/>
      <c r="D18" s="46"/>
      <c r="E18" s="46"/>
      <c r="F18" s="46"/>
      <c r="G18" s="46"/>
      <c r="H18" s="51"/>
    </row>
    <row r="19">
      <c r="B19" s="49"/>
      <c r="C19" s="46"/>
      <c r="D19" s="46"/>
      <c r="E19" s="46"/>
      <c r="F19" s="46"/>
      <c r="G19" s="46"/>
      <c r="H19" s="51"/>
    </row>
    <row r="20">
      <c r="B20" s="49"/>
      <c r="C20" s="46"/>
      <c r="D20" s="46"/>
      <c r="E20" s="46"/>
      <c r="F20" s="46"/>
      <c r="G20" s="46"/>
      <c r="H20" s="51"/>
    </row>
    <row r="21">
      <c r="B21" s="49"/>
      <c r="C21" s="46"/>
      <c r="D21" s="46"/>
      <c r="E21" s="46"/>
      <c r="F21" s="46"/>
      <c r="G21" s="46"/>
      <c r="H21" s="51"/>
    </row>
    <row r="22">
      <c r="B22" s="49"/>
      <c r="C22" s="46"/>
      <c r="D22" s="46"/>
      <c r="E22" s="46"/>
      <c r="F22" s="46"/>
      <c r="G22" s="46"/>
      <c r="H22" s="51"/>
    </row>
    <row r="23">
      <c r="B23" s="49"/>
      <c r="C23" s="46"/>
      <c r="D23" s="46"/>
      <c r="E23" s="46"/>
      <c r="F23" s="46"/>
      <c r="G23" s="46"/>
      <c r="H23" s="51"/>
    </row>
    <row r="24">
      <c r="B24" s="49"/>
      <c r="C24" s="46"/>
      <c r="D24" s="46"/>
      <c r="E24" s="46"/>
      <c r="F24" s="46"/>
      <c r="G24" s="46"/>
      <c r="H24" s="51"/>
    </row>
    <row r="25">
      <c r="B25" s="49"/>
      <c r="C25" s="46"/>
      <c r="D25" s="46"/>
      <c r="E25" s="46"/>
      <c r="F25" s="46"/>
      <c r="G25" s="46"/>
      <c r="H25" s="51"/>
    </row>
    <row r="26">
      <c r="B26" s="49"/>
      <c r="C26" s="46"/>
      <c r="D26" s="46"/>
      <c r="E26" s="46"/>
      <c r="F26" s="46"/>
      <c r="G26" s="46"/>
      <c r="H26" s="51"/>
    </row>
    <row r="27">
      <c r="B27" s="49"/>
      <c r="C27" s="46"/>
      <c r="D27" s="46"/>
      <c r="E27" s="46"/>
      <c r="F27" s="46"/>
      <c r="G27" s="46"/>
      <c r="H27" s="51"/>
    </row>
    <row r="28">
      <c r="B28" s="49"/>
      <c r="C28" s="46"/>
      <c r="D28" s="46"/>
      <c r="E28" s="46"/>
      <c r="F28" s="46"/>
      <c r="G28" s="46"/>
      <c r="H28" s="51"/>
    </row>
    <row r="29">
      <c r="B29" s="49"/>
      <c r="C29" s="46"/>
      <c r="D29" s="46"/>
      <c r="E29" s="46"/>
      <c r="F29" s="46"/>
      <c r="G29" s="46"/>
      <c r="H29" s="51"/>
    </row>
    <row r="30">
      <c r="B30" s="49"/>
      <c r="C30" s="46"/>
      <c r="D30" s="46"/>
      <c r="E30" s="46"/>
      <c r="F30" s="46"/>
      <c r="G30" s="46"/>
      <c r="H30" s="51"/>
    </row>
    <row r="31">
      <c r="B31" s="46"/>
      <c r="C31" s="46"/>
      <c r="D31" s="46"/>
      <c r="E31" s="46"/>
      <c r="F31" s="46"/>
      <c r="G31" s="46"/>
      <c r="H31" s="54"/>
    </row>
    <row r="32">
      <c r="B32" s="46"/>
      <c r="C32" s="46"/>
      <c r="D32" s="46"/>
      <c r="E32" s="46"/>
      <c r="F32" s="46"/>
      <c r="G32" s="46"/>
      <c r="H32" s="54"/>
    </row>
    <row r="33">
      <c r="B33" s="46"/>
      <c r="C33" s="46"/>
      <c r="D33" s="46"/>
      <c r="E33" s="46"/>
      <c r="F33" s="46"/>
      <c r="G33" s="46"/>
      <c r="H33" s="54"/>
    </row>
    <row r="34">
      <c r="B34" s="46"/>
      <c r="C34" s="46"/>
      <c r="D34" s="46"/>
      <c r="E34" s="46"/>
      <c r="F34" s="46"/>
      <c r="G34" s="46"/>
      <c r="H34" s="54"/>
    </row>
    <row r="35">
      <c r="B35" s="46"/>
      <c r="C35" s="46"/>
      <c r="D35" s="46"/>
      <c r="E35" s="46"/>
      <c r="F35" s="46"/>
      <c r="G35" s="46"/>
      <c r="H35" s="54"/>
    </row>
    <row r="36">
      <c r="B36" s="46"/>
      <c r="C36" s="46"/>
      <c r="D36" s="46"/>
      <c r="E36" s="46"/>
      <c r="F36" s="46"/>
      <c r="G36" s="46"/>
      <c r="H36" s="54"/>
    </row>
    <row r="37">
      <c r="B37" s="46"/>
      <c r="C37" s="46"/>
      <c r="D37" s="46"/>
      <c r="E37" s="46"/>
      <c r="F37" s="46"/>
      <c r="G37" s="46"/>
      <c r="H37" s="54"/>
    </row>
    <row r="38">
      <c r="B38" s="46"/>
      <c r="C38" s="46"/>
      <c r="D38" s="46"/>
      <c r="E38" s="46"/>
      <c r="F38" s="46"/>
      <c r="G38" s="46"/>
      <c r="H38" s="54"/>
    </row>
    <row r="39">
      <c r="B39" s="46"/>
      <c r="C39" s="46"/>
      <c r="D39" s="46"/>
      <c r="E39" s="46"/>
      <c r="F39" s="46"/>
      <c r="G39" s="46"/>
      <c r="H39" s="54"/>
    </row>
    <row r="40">
      <c r="H40" s="54"/>
    </row>
    <row r="41">
      <c r="H41" s="54"/>
    </row>
    <row r="42">
      <c r="H42" s="54"/>
    </row>
    <row r="43">
      <c r="H43" s="54"/>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2" ref="G2"/>
  </hyperlinks>
  <drawing r:id="rId3"/>
  <legacyDrawing r:id="rId4"/>
</worksheet>
</file>