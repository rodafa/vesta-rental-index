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<sst xmlns="http://schemas.openxmlformats.org/spreadsheetml/2006/main" count="54" uniqueCount="37">
  <si>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</si>
  <si>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</si>
  <si>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</si>
  <si>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</si>
  <si>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</si>
  <si>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</si>
  <si>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</si>
  <si>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</si>
  <si>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</si>
  <si>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</si>
  <si>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</si>
  <si>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</si>
  <si>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</si>
  <si>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</si>
  <si>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125 Waynesville Ave</t>
  </si>
  <si>
    <t>https://www.zillow.com/homedetails/125-Waynesville-Ave-Asheville-NC-28806/332833179_zpid/</t>
  </si>
  <si>
    <t>Current List Price</t>
  </si>
  <si>
    <t>Statement Date</t>
  </si>
  <si>
    <t>New Leads</t>
  </si>
  <si>
    <t>Completed Showings</t>
  </si>
  <si>
    <t>Submitted Applications</t>
  </si>
  <si>
    <t xml:space="preserve">
This unit just hit the market, so not much to update you on yet, but we will see how the first week goes and will have more data next week.
</t>
  </si>
  <si>
    <t xml:space="preserve">
We have had a few leads come in, but so far no tours scheduled. I will make sure to follow up with each lead and try to push for some feedback and see if we can get them on the schedule this week. Will keep you posted on any updates.
</t>
  </si>
  <si>
    <r>
      <rPr>
        <rFont val="Arial"/>
        <color theme="1"/>
      </rPr>
      <t xml:space="preserve">Still working on getting the first showing scheduled. We can continue to be patient, but we need to start considering a price adjustment in the next one to two weeks. 
</t>
    </r>
    <r>
      <rPr>
        <rFont val="Arial"/>
        <b/>
        <color theme="1"/>
      </rPr>
      <t xml:space="preserve">Facebook: </t>
    </r>
    <r>
      <rPr>
        <rFont val="Arial"/>
        <color theme="1"/>
      </rPr>
      <t>207 Clicks, 3 saves, 1 conversation</t>
    </r>
  </si>
  <si>
    <r>
      <rPr>
        <rFont val="Arial"/>
        <b val="0"/>
        <color theme="1"/>
      </rPr>
      <t>We will continue to follow up on all leads, but we think it is best to reduce the price by $200 to try and generate more activity. Please let us know if that is ok with you.
We are also running a $200 move-in special at no cost to you in order to generate more interest.</t>
    </r>
    <r>
      <rPr>
        <rFont val="Arial"/>
        <b/>
        <color theme="1"/>
      </rPr>
      <t xml:space="preserve">
Facebook:</t>
    </r>
    <r>
      <rPr>
        <rFont val="Arial"/>
        <b val="0"/>
        <color theme="1"/>
      </rPr>
      <t xml:space="preserve"> 237 Clicks, 1 save, 1 conversation.</t>
    </r>
  </si>
  <si>
    <r>
      <rPr>
        <rFont val="Arial"/>
        <b val="0"/>
        <color theme="1"/>
      </rPr>
      <t xml:space="preserve">It seems we have found at least an initial sweet spot on price as our activity increase has been immediate. The first showing was this afternoon and they did not give any feedback despite me asking for their opinion. Their family lives in 3 other units on the street, so I was surprised.
We still have another 4 tours through the next week and a half so I am sure we will get better feedback from some of these showings.
Lastly, I noticed the gate to the right of the front door is not secured on the left side where it meets with the house. Just want to bring this to your attention. If you want us to help with anything like this, please let us know.
</t>
    </r>
    <r>
      <rPr>
        <rFont val="Arial"/>
        <b/>
        <color theme="1"/>
      </rPr>
      <t>Facebook:</t>
    </r>
    <r>
      <rPr>
        <rFont val="Arial"/>
        <b val="0"/>
        <color theme="1"/>
      </rPr>
      <t xml:space="preserve"> 432 clicks, 1 save, 0 shares, 1 conversation</t>
    </r>
  </si>
  <si>
    <r>
      <rPr>
        <rFont val="Arial"/>
        <b val="0"/>
        <color theme="1"/>
      </rPr>
      <t xml:space="preserve">We had a couple tours cancelled last week, but showed it on Friday which went well.
We have a tour scheduled for tomorrow afternoon as well, so we will let you know how that goes.
</t>
    </r>
    <r>
      <rPr>
        <rFont val="Arial"/>
        <b/>
        <color theme="1"/>
      </rPr>
      <t>Facebook:</t>
    </r>
    <r>
      <rPr>
        <rFont val="Arial"/>
        <b val="0"/>
        <color theme="1"/>
      </rPr>
      <t xml:space="preserve"> 857 Clicks, 15 saves, 0 shares, 4 conversations</t>
    </r>
  </si>
  <si>
    <t>Average</t>
  </si>
  <si>
    <r>
      <rPr>
        <rFont val="Arial"/>
        <color theme="1"/>
      </rPr>
      <t xml:space="preserve">Activity has waned over the last week, and even with the actrivity we had, there were multiple cancellations/no shows.
We have followed up with the previous showings and 1 person refuses to reply to any of my attempts, while the other found a place with less space and a lower price point as they did not need as much space as this unit had to offer.
The showing this past week showed promise, but they elected to go with another unit in our portfolio that is very comparable, but $300 less. The address for your reference is 49 Hazzard St. 
We think it is best to lower the price to $3100 to get some better candidates interested in the unit. Please let us know if this is acceptable. 
</t>
    </r>
    <r>
      <rPr>
        <rFont val="Arial"/>
        <b/>
        <color theme="1"/>
      </rPr>
      <t>Facebook:</t>
    </r>
    <r>
      <rPr>
        <rFont val="Arial"/>
        <color theme="1"/>
      </rPr>
      <t xml:space="preserve"> 124 clicks, 1 save, 0 shares, 0 conversations</t>
    </r>
  </si>
  <si>
    <r>
      <rPr>
        <rFont val="Arial"/>
        <b val="0"/>
        <color theme="1"/>
      </rPr>
      <t xml:space="preserve">Due to a transition to a new scheduling software, the numbers may not be accurate this week, but moving forward they will be as the new software will be fully integrated into our metrics.
We had one lead cancel a showing and we will follow up to reschedule. Another lead saw multiple properties and decided to go with the other due to their need for a larger backyard space. We will contact the remaining leads to see if we can get them on our calendar for this week. 
We will begin providing water and snacks at the showings to improve the prospect experience.
</t>
    </r>
    <r>
      <rPr>
        <rFont val="Arial"/>
        <b/>
        <color theme="1"/>
      </rPr>
      <t xml:space="preserve">Facebook: </t>
    </r>
    <r>
      <rPr>
        <rFont val="Arial"/>
        <b val="0"/>
        <color theme="1"/>
      </rPr>
      <t>818 clicks, 5 saves, 0 shares, 3 conversations</t>
    </r>
  </si>
  <si>
    <t xml:space="preserve">We showed the unit this weekend and they said they were not interested. This unit is not generating interest beyond a tour thus far, so I highly recommend another price drop. We can go gradually to feel out the market slowly and go down to $3000, or we can be more aggressive to potentially speed up the process, and maybe hit $2900-$2950. Please let me know your thoughts and we will adjust accordingly. </t>
  </si>
  <si>
    <t xml:space="preserve">Even with the added price drop, this unit seems to be underappreciated in this market. For now we want to give it another week at the same price and see how it goes.
We did have a successful showing with a couple who are relocating for work, but for them to be reimbursed for the relocation by their employer, they require no longer than a 6 month lease. We are entertaining it for now as they seem like quality applicants and should they move forward, Rodrigo will discuss the particulars with you. </t>
  </si>
  <si>
    <t>The people who wanted the 6 month lease has not gotten back to me, but I will try them one more time today. We also showed the unit yesterday to someone moving to Asheville from LA and she seems promising, but the ball is in her court for the time being. I will give her a day or two and follow up with her if I do not hear back. 
We have a couple leads top follow up on and a showing scheduled for later this week. Hoping for good news soon!</t>
  </si>
  <si>
    <t>The units started to generate more activity, but so far we have not received any applications.
A couple prospects said it was simply more space than they needed and another just started looking and is not in a rush to decide.
We think it might be time to drop the price again and see if that generates any applications. Would you be on board with $2,800? Please advise.</t>
  </si>
  <si>
    <r>
      <rPr/>
      <t xml:space="preserve">No new activity this week. 
Based on a comparable market analysis of 12 properties, it seems many units in this price range have been sitting for an average of 100, and up to 160 days. While there are a couple that rented closer to the $3000 range, another couple rented down in the $2500 area with the majority not renting at all. We may need a more aggressive price point to avoid reaching the 100+ day mark. Please see a link to a nice house at a lower price point that has been on the market over 100 days.
</t>
    </r>
    <r>
      <rPr>
        <color rgb="FF1155CC"/>
        <u/>
      </rPr>
      <t>https://www.zillow.com/homedetails/76-Indiana-Ave-Asheville-NC-28806/337340409_zpid/</t>
    </r>
    <r>
      <rPr/>
      <t xml:space="preserve">
We would like to reinforce the price drop suggestion to $2,800, but there is an argument to drop it more if you want to try being aggressive with the market. What is your feedback?</t>
    </r>
  </si>
  <si>
    <t xml:space="preserve">We received a couple new leads, but have no scheduled showings yet. 
We would like to reiterate our notes from the previous two weeks and get your feedback as soon as possible. 
We have offered a $200 move in special to generate additional interest at no cost to you as well. </t>
  </si>
  <si>
    <t>After our conversation yesterday, we agreed that $2600 is a good aggressive reduction.
We had someone view it yesterday and are awaiting their feedback, and we have another showing scheduled for later this week by a couple who instantly turned in an application after the reduction.
We communicated the reduction to the prospect who offered $2300 and said the lowest we would take is $2500. We will await his reply.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</si>
</sst>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7">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
      <u/>
      <color rgb="FF0000FF"/>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0" fillId="0" fontId="14" numFmtId="0" xfId="0" applyAlignment="1" applyFont="1">
      <alignment vertical="bottom"/>
    </xf>
    <xf borderId="23" fillId="0" fontId="14"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0" fillId="0" fontId="14" numFmtId="0" xfId="0" applyAlignment="1" applyFont="1">
      <alignment vertical="bottom"/>
    </xf>
    <xf borderId="23" fillId="0" fontId="15"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readingOrder="0" shrinkToFit="0" wrapText="1"/>
    </xf>
    <xf borderId="23" fillId="0" fontId="16" numFmtId="0" xfId="0" applyAlignment="1" applyBorder="1" applyFont="1">
      <alignment horizontal="left" readingOrder="0" shrinkToFit="0" wrapText="1"/>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25-Waynesville-Ave-Asheville-NC-28806/332833179_zpid/" TargetMode="External"/><Relationship Id="rId3" Type="http://schemas.openxmlformats.org/officeDocument/2006/relationships/hyperlink" Target="https://www.zillow.com/homedetails/76-Indiana-Ave-Asheville-NC-28806/337340409_zpid/"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125 Waynesville Ave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1,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After our conversation yesterday, we agreed that $2600 is a good aggressive reduction.
We had someone view it yesterday and are awaiting their feedback, and we have another showing scheduled for later this week by a couple who instantly turned in an application after the reduction.
We communicated the reduction to the prospect who offered $2300 and said the lowest we would take is $2500. We will await his reply.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33</v>
      </c>
      <c r="C16" s="23">
        <f>'Data Entry'!I11</f>
        <v>4.714285714</v>
      </c>
      <c r="D16" s="7"/>
      <c r="E16" s="7"/>
      <c r="F16" s="4"/>
      <c r="G16" s="4"/>
      <c r="H16" s="4"/>
      <c r="I16" s="4"/>
      <c r="J16" s="4"/>
      <c r="K16" s="4"/>
      <c r="L16" s="4"/>
      <c r="M16" s="4"/>
      <c r="N16" s="4"/>
      <c r="O16" s="4"/>
      <c r="P16" s="4"/>
      <c r="Q16" s="4"/>
      <c r="R16" s="4"/>
      <c r="S16" s="4"/>
      <c r="T16" s="4"/>
      <c r="U16" s="4"/>
      <c r="V16" s="4"/>
      <c r="W16" s="4"/>
    </row>
    <row r="17">
      <c r="A17" s="5" t="s">
        <v>5</v>
      </c>
      <c r="B17" s="23">
        <f>'Data Entry'!I5</f>
        <v>15</v>
      </c>
      <c r="C17" s="23">
        <f>'Data Entry'!I12</f>
        <v>2.142857143</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0.1428571429</v>
      </c>
      <c r="D18" s="7"/>
      <c r="E18" s="7"/>
      <c r="F18" s="4"/>
      <c r="G18" s="4"/>
      <c r="H18" s="4"/>
      <c r="I18" s="4"/>
      <c r="J18" s="4"/>
      <c r="K18" s="4"/>
      <c r="L18" s="4"/>
      <c r="M18" s="4"/>
      <c r="N18" s="4"/>
      <c r="O18" s="4"/>
      <c r="P18" s="4"/>
      <c r="Q18" s="4"/>
      <c r="R18" s="4"/>
      <c r="S18" s="4"/>
      <c r="T18" s="4"/>
      <c r="U18" s="4"/>
      <c r="V18" s="4"/>
      <c r="W18" s="4"/>
    </row>
    <row r="19">
      <c r="A19" s="13" t="s">
        <v>11</v>
      </c>
      <c r="B19" s="24">
        <f>'Data Entry'!D2</f>
        <v>99</v>
      </c>
      <c r="C19" s="3"/>
      <c r="D19" s="7"/>
      <c r="E19" s="7"/>
      <c r="F19" s="4"/>
      <c r="G19" s="4"/>
      <c r="H19" s="4"/>
      <c r="I19" s="4"/>
      <c r="J19" s="4"/>
      <c r="K19" s="4"/>
      <c r="L19" s="4"/>
      <c r="M19" s="4"/>
      <c r="N19" s="4"/>
      <c r="O19" s="4"/>
      <c r="P19" s="4"/>
      <c r="Q19" s="4"/>
      <c r="R19" s="4"/>
      <c r="S19" s="4"/>
      <c r="T19" s="4"/>
      <c r="U19" s="4"/>
      <c r="V19" s="4"/>
      <c r="W19" s="4"/>
    </row>
    <row r="20">
      <c r="A20" s="5" t="s">
        <v>12</v>
      </c>
      <c r="B20" s="25">
        <f>'Data Entry'!D3</f>
        <v>2600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https://www.zillow.com/homedetails/125-Waynesville-Ave-Asheville-NC-28806/332833179_zpid/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99.0</v>
      </c>
      <c r="E2" s="32" t="s">
        <v>13</v>
      </c>
      <c r="F2" s="34" t="s">
        <v>15</v>
      </c>
      <c r="H2" s="35"/>
      <c r="I2" s="36"/>
    </row>
    <row r="3">
      <c r="B3" s="31"/>
      <c r="C3" s="37" t="s">
        <v>16</v>
      </c>
      <c r="D3" s="38">
        <v>2600.0</v>
      </c>
      <c r="E3" s="39"/>
      <c r="F3" s="40"/>
      <c r="H3" s="35"/>
      <c r="I3" s="36"/>
    </row>
    <row r="4">
      <c r="B4" s="41" t="s">
        <v>17</v>
      </c>
      <c r="C4" s="42" t="s">
        <v>18</v>
      </c>
      <c r="D4" s="42" t="s">
        <v>19</v>
      </c>
      <c r="E4" s="42" t="s">
        <v>20</v>
      </c>
      <c r="F4" s="43" t="s">
        <v>7</v>
      </c>
      <c r="H4" s="35" t="s">
        <v>4</v>
      </c>
      <c r="I4" s="36">
        <f>SUM(C5:C43)</f>
        <v>33</v>
      </c>
    </row>
    <row r="5">
      <c r="B5" s="44"/>
      <c r="C5" s="31"/>
      <c r="D5" s="45"/>
      <c r="E5" s="45"/>
      <c r="F5" s="46" t="s">
        <v>21</v>
      </c>
      <c r="H5" s="35" t="s">
        <v>5</v>
      </c>
      <c r="I5" s="36">
        <f>SUM(D5:D36)</f>
        <v>15</v>
      </c>
    </row>
    <row r="6">
      <c r="B6" s="44"/>
      <c r="C6" s="31"/>
      <c r="D6" s="45"/>
      <c r="E6" s="45"/>
      <c r="F6" s="46" t="s">
        <v>22</v>
      </c>
      <c r="H6" s="47" t="s">
        <v>6</v>
      </c>
      <c r="I6" s="36">
        <f>SUM(E5:E39)</f>
        <v>1</v>
      </c>
    </row>
    <row r="7">
      <c r="B7" s="48"/>
      <c r="C7" s="31"/>
      <c r="D7" s="45"/>
      <c r="E7" s="45"/>
      <c r="F7" s="49" t="s">
        <v>23</v>
      </c>
      <c r="H7" s="35"/>
      <c r="I7" s="36"/>
    </row>
    <row r="8">
      <c r="B8" s="48"/>
      <c r="C8" s="50"/>
      <c r="D8" s="51"/>
      <c r="E8" s="51"/>
      <c r="F8" s="52" t="s">
        <v>24</v>
      </c>
      <c r="H8" s="47"/>
      <c r="I8" s="36"/>
    </row>
    <row r="9">
      <c r="B9" s="53"/>
      <c r="C9" s="54"/>
      <c r="D9" s="51"/>
      <c r="E9" s="51"/>
      <c r="F9" s="52" t="s">
        <v>25</v>
      </c>
      <c r="I9" s="36"/>
    </row>
    <row r="10">
      <c r="B10" s="53"/>
      <c r="C10" s="54"/>
      <c r="D10" s="51"/>
      <c r="E10" s="51"/>
      <c r="F10" s="52" t="s">
        <v>26</v>
      </c>
      <c r="H10" s="29" t="s">
        <v>27</v>
      </c>
      <c r="I10" s="30"/>
    </row>
    <row r="11">
      <c r="B11" s="53"/>
      <c r="C11" s="54"/>
      <c r="D11" s="51"/>
      <c r="E11" s="51"/>
      <c r="F11" s="49" t="s">
        <v>28</v>
      </c>
      <c r="H11" s="35" t="s">
        <v>4</v>
      </c>
      <c r="I11" s="30">
        <f>AVERAGE(C5:C34)</f>
        <v>4.714285714</v>
      </c>
    </row>
    <row r="12">
      <c r="B12" s="48"/>
      <c r="C12" s="50"/>
      <c r="D12" s="51"/>
      <c r="E12" s="51"/>
      <c r="F12" s="52" t="s">
        <v>29</v>
      </c>
      <c r="H12" s="35" t="s">
        <v>5</v>
      </c>
      <c r="I12" s="30">
        <f>AVERAGE(D5:D38)</f>
        <v>2.142857143</v>
      </c>
    </row>
    <row r="13">
      <c r="B13" s="53">
        <v>45947.0</v>
      </c>
      <c r="C13" s="54">
        <v>19.0</v>
      </c>
      <c r="D13" s="54">
        <v>8.0</v>
      </c>
      <c r="E13" s="54">
        <v>0.0</v>
      </c>
      <c r="F13" s="49" t="s">
        <v>30</v>
      </c>
      <c r="H13" s="47" t="s">
        <v>6</v>
      </c>
      <c r="I13" s="30">
        <f>AVERAGE(E5:E39)</f>
        <v>0.1428571429</v>
      </c>
    </row>
    <row r="14">
      <c r="B14" s="53">
        <v>45957.0</v>
      </c>
      <c r="C14" s="54">
        <v>2.0</v>
      </c>
      <c r="D14" s="54">
        <v>1.0</v>
      </c>
      <c r="E14" s="54">
        <v>0.0</v>
      </c>
      <c r="F14" s="49" t="s">
        <v>31</v>
      </c>
      <c r="I14" s="30"/>
    </row>
    <row r="15">
      <c r="B15" s="53">
        <v>45964.0</v>
      </c>
      <c r="C15" s="54">
        <v>3.0</v>
      </c>
      <c r="D15" s="54">
        <v>1.0</v>
      </c>
      <c r="E15" s="54">
        <v>0.0</v>
      </c>
      <c r="F15" s="49" t="s">
        <v>32</v>
      </c>
      <c r="I15" s="30"/>
    </row>
    <row r="16">
      <c r="B16" s="44">
        <v>45971.0</v>
      </c>
      <c r="C16" s="31">
        <v>4.0</v>
      </c>
      <c r="D16" s="31">
        <v>4.0</v>
      </c>
      <c r="E16" s="31">
        <v>0.0</v>
      </c>
      <c r="F16" s="55" t="s">
        <v>33</v>
      </c>
      <c r="I16" s="30"/>
    </row>
    <row r="17">
      <c r="B17" s="44">
        <v>45978.0</v>
      </c>
      <c r="C17" s="31">
        <v>0.0</v>
      </c>
      <c r="D17" s="31">
        <v>0.0</v>
      </c>
      <c r="E17" s="31">
        <v>0.0</v>
      </c>
      <c r="F17" s="56" t="s">
        <v>34</v>
      </c>
      <c r="I17" s="30"/>
    </row>
    <row r="18">
      <c r="B18" s="44">
        <v>45985.0</v>
      </c>
      <c r="C18" s="31">
        <v>2.0</v>
      </c>
      <c r="D18" s="31">
        <v>0.0</v>
      </c>
      <c r="E18" s="31">
        <v>0.0</v>
      </c>
      <c r="F18" s="55" t="s">
        <v>35</v>
      </c>
      <c r="I18" s="30"/>
    </row>
    <row r="19">
      <c r="B19" s="44">
        <v>45992.0</v>
      </c>
      <c r="C19" s="31">
        <v>3.0</v>
      </c>
      <c r="D19" s="31">
        <v>1.0</v>
      </c>
      <c r="E19" s="31">
        <v>1.0</v>
      </c>
      <c r="F19" s="55" t="s">
        <v>36</v>
      </c>
      <c r="I19" s="30"/>
    </row>
    <row r="20">
      <c r="B20" s="48"/>
      <c r="C20" s="50"/>
      <c r="D20" s="50"/>
      <c r="E20" s="50"/>
      <c r="F20" s="57"/>
      <c r="I20" s="30"/>
    </row>
    <row r="21">
      <c r="B21" s="48"/>
      <c r="C21" s="50"/>
      <c r="D21" s="50"/>
      <c r="E21" s="50"/>
      <c r="F21" s="57"/>
      <c r="I21" s="30"/>
    </row>
    <row r="22">
      <c r="B22" s="48"/>
      <c r="C22" s="50"/>
      <c r="D22" s="50"/>
      <c r="E22" s="50"/>
      <c r="F22" s="57"/>
      <c r="I22" s="30"/>
    </row>
    <row r="23">
      <c r="B23" s="48"/>
      <c r="C23" s="50"/>
      <c r="D23" s="50"/>
      <c r="E23" s="50"/>
      <c r="F23" s="57"/>
      <c r="I23" s="30"/>
    </row>
    <row r="24">
      <c r="B24" s="48"/>
      <c r="C24" s="50"/>
      <c r="D24" s="50"/>
      <c r="E24" s="50"/>
      <c r="F24" s="57"/>
      <c r="I24" s="30"/>
    </row>
    <row r="25">
      <c r="B25" s="48"/>
      <c r="C25" s="50"/>
      <c r="D25" s="50"/>
      <c r="E25" s="50"/>
      <c r="F25" s="57"/>
      <c r="I25" s="30"/>
    </row>
    <row r="26">
      <c r="B26" s="48"/>
      <c r="C26" s="50"/>
      <c r="D26" s="50"/>
      <c r="E26" s="50"/>
      <c r="F26" s="57"/>
      <c r="I26" s="30"/>
    </row>
    <row r="27">
      <c r="B27" s="48"/>
      <c r="C27" s="50"/>
      <c r="D27" s="50"/>
      <c r="E27" s="50"/>
      <c r="F27" s="57"/>
      <c r="H27" s="5" t="s">
        <v>4</v>
      </c>
      <c r="I27" s="30"/>
    </row>
    <row r="28">
      <c r="B28" s="48"/>
      <c r="C28" s="50"/>
      <c r="D28" s="50"/>
      <c r="E28" s="50"/>
      <c r="F28" s="57"/>
      <c r="H28" s="5" t="s">
        <v>5</v>
      </c>
      <c r="I28" s="30"/>
    </row>
    <row r="29">
      <c r="B29" s="48"/>
      <c r="C29" s="50"/>
      <c r="D29" s="50"/>
      <c r="E29" s="50"/>
      <c r="F29" s="57"/>
      <c r="H29" s="13" t="s">
        <v>6</v>
      </c>
      <c r="I29" s="30"/>
    </row>
    <row r="30">
      <c r="B30" s="48"/>
      <c r="C30" s="50"/>
      <c r="D30" s="50"/>
      <c r="E30" s="50"/>
      <c r="F30" s="57"/>
      <c r="I30" s="30"/>
    </row>
    <row r="31">
      <c r="B31" s="50"/>
      <c r="C31" s="50"/>
      <c r="D31" s="50"/>
      <c r="E31" s="50"/>
      <c r="F31" s="58"/>
      <c r="I31" s="30"/>
    </row>
    <row r="32">
      <c r="B32" s="50"/>
      <c r="C32" s="50"/>
      <c r="D32" s="50"/>
      <c r="E32" s="50"/>
      <c r="F32" s="58"/>
      <c r="I32" s="30"/>
    </row>
    <row r="33">
      <c r="B33" s="50"/>
      <c r="C33" s="50"/>
      <c r="D33" s="50"/>
      <c r="E33" s="50"/>
      <c r="F33" s="58"/>
      <c r="I33" s="30"/>
    </row>
    <row r="34">
      <c r="B34" s="50"/>
      <c r="C34" s="50"/>
      <c r="D34" s="50"/>
      <c r="E34" s="50"/>
      <c r="F34" s="58"/>
      <c r="I34" s="30"/>
    </row>
    <row r="35">
      <c r="B35" s="50"/>
      <c r="C35" s="50"/>
      <c r="D35" s="50"/>
      <c r="E35" s="50"/>
      <c r="F35" s="58"/>
      <c r="I35" s="30"/>
    </row>
    <row r="36">
      <c r="B36" s="50"/>
      <c r="C36" s="50"/>
      <c r="D36" s="50"/>
      <c r="E36" s="50"/>
      <c r="F36" s="58"/>
      <c r="I36" s="30"/>
    </row>
    <row r="37">
      <c r="B37" s="50"/>
      <c r="C37" s="50"/>
      <c r="D37" s="50"/>
      <c r="E37" s="50"/>
      <c r="F37" s="58"/>
      <c r="I37" s="30"/>
    </row>
    <row r="38">
      <c r="B38" s="50"/>
      <c r="C38" s="50"/>
      <c r="D38" s="50"/>
      <c r="E38" s="50"/>
      <c r="F38" s="58"/>
      <c r="I38" s="30"/>
    </row>
    <row r="39">
      <c r="B39" s="50"/>
      <c r="C39" s="50"/>
      <c r="D39" s="50"/>
      <c r="E39" s="50"/>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 r:id="rId3" ref="F17"/>
  </hyperlinks>
  <drawing r:id="rId4"/>
  <legacyDrawing r:id="rId5"/>
</worksheet>
</file>