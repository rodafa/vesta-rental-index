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<sst xmlns="http://schemas.openxmlformats.org/spreadsheetml/2006/main" count="57" uniqueCount="40">
  <si>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</si>
  <si>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</si>
  <si>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</si>
  <si>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</si>
  <si>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</si>
  <si>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</si>
  <si>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</si>
  <si>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</si>
  <si>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</si>
  <si>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</si>
  <si>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</si>
  <si>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</si>
  <si>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</si>
  <si>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</si>
  <si>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588 Ray Hill Rd Unit A</t>
  </si>
  <si>
    <t>https://www.zillow.com/homedetails/588-Ray-Hill-Rd-UNIT-A-Mills-River-NC-28759/454509377_zpid/</t>
  </si>
  <si>
    <t>Current List Price</t>
  </si>
  <si>
    <t>Statement Date</t>
  </si>
  <si>
    <t>New Leads</t>
  </si>
  <si>
    <t>Completed Showings</t>
  </si>
  <si>
    <t>Submitted Applications</t>
  </si>
  <si>
    <r>
      <rPr>
        <rFont val="Arial"/>
        <b val="0"/>
        <color theme="1"/>
      </rPr>
      <t>This unit has just been listed and when it is ready to be shown, we will update all of the people on the waitlist.</t>
    </r>
    <r>
      <rPr>
        <rFont val="Arial"/>
        <b/>
        <color theme="1"/>
      </rPr>
      <t xml:space="preserve"> On Facebook:</t>
    </r>
    <r>
      <rPr>
        <rFont val="Arial"/>
        <b val="0"/>
        <color theme="1"/>
      </rPr>
      <t xml:space="preserve"> We have gotten 83 clicks and once saved listing .</t>
    </r>
  </si>
  <si>
    <r>
      <rPr>
        <rFont val="Arial"/>
        <color theme="1"/>
      </rPr>
      <t xml:space="preserve">We got the key back from the tenants over the weekend, will now be scheduling showings! 
We are getting it cleaned on Thursday and.
</t>
    </r>
    <r>
      <rPr>
        <rFont val="Arial"/>
        <b/>
        <color theme="1"/>
      </rPr>
      <t xml:space="preserve">On Facebook: </t>
    </r>
    <r>
      <rPr>
        <rFont val="Arial"/>
        <color theme="1"/>
      </rPr>
      <t>We have gotten 28 clicks on the listing</t>
    </r>
  </si>
  <si>
    <t xml:space="preserve">
We had one viewing last week and two more for this week (this afternoon and tomorrow afternoon). Followed up with last weeks showing and waiting for a response. Will keep you updated on the feedback from this weeks showings.
</t>
  </si>
  <si>
    <r>
      <t xml:space="preserve">
</t>
    </r>
    <r>
      <rPr>
        <rFont val="Arial"/>
        <b val="0"/>
        <color theme="1"/>
      </rPr>
      <t xml:space="preserve">We continue to get activity with another showing this past week. I followed up with the answers to their questions and am waiting for them to make a decision between the couple units they looked at in their search. Will follow up with them this week.
</t>
    </r>
    <r>
      <rPr>
        <rFont val="Arial"/>
        <b/>
        <color theme="1"/>
      </rPr>
      <t xml:space="preserve">On Facebook: </t>
    </r>
    <r>
      <rPr>
        <rFont val="Arial"/>
        <b val="0"/>
        <color theme="1"/>
      </rPr>
      <t xml:space="preserve">We had 41 clicks and 2 listing saves
</t>
    </r>
  </si>
  <si>
    <r>
      <t xml:space="preserve">
</t>
    </r>
    <r>
      <rPr>
        <rFont val="Arial"/>
        <b val="0"/>
        <color theme="1"/>
      </rPr>
      <t xml:space="preserve">This week we saw no activity for the first time which was a bit surprising. Would you want to go down $50-100 and see if that brings some more interest?
</t>
    </r>
    <r>
      <rPr>
        <rFont val="Arial"/>
        <b/>
        <color theme="1"/>
      </rPr>
      <t xml:space="preserve">On Facebook: </t>
    </r>
    <r>
      <rPr>
        <rFont val="Arial"/>
        <b val="0"/>
        <color theme="1"/>
      </rPr>
      <t xml:space="preserve">1126 clicks, 6 saves. Two conversations. 
</t>
    </r>
  </si>
  <si>
    <t xml:space="preserve">
The unit did not see a lot of activity after the price drop last week. If this continues through next week, we may want to consider another price drop. We will follow up on any archived leads that may have had a move out date too far out at the time and see if they are still looking, as well as communicate the price drop to some previous prospects who toured the unit.
</t>
  </si>
  <si>
    <t>Average</t>
  </si>
  <si>
    <t xml:space="preserve">
We received some new leads and one who is requesting a tour. I am following up to schedule the appointment today and will call the remaining leads as well. Hoping we can get some eyes in the unit so I can push for some fresh feedback. We will keep you posted on any insight from the prospects.
</t>
  </si>
  <si>
    <t xml:space="preserve">
We received some new looks and have a scheduled tour for tomorrow afternoon at 2:30pm. I will make sure I push for feedback from everyone I speak to so we have an updated perspective. Hoping to turn the tides from the recent drop in activity this week. Will keep you posted on any updates.
</t>
  </si>
  <si>
    <t xml:space="preserve">
We are unsure why there was a change in demand for this unit over the past few weeks, but we adjusted the price per your email request and will continue to do added follow ups on previous and archived leads that have left their stance open ended. We will discuss incentives ASAP and get back with you about being more aggressive and/or creative in our approach.
</t>
  </si>
  <si>
    <r>
      <rPr>
        <rFont val="Arial"/>
        <b val="0"/>
        <color theme="1"/>
      </rPr>
      <t xml:space="preserve">Lead volume is frustrating. We are continuing to push hard on Faceook. One showing is scheduled for Tuesday. 
</t>
    </r>
    <r>
      <rPr>
        <rFont val="Arial"/>
        <b/>
        <color theme="1"/>
      </rPr>
      <t xml:space="preserve">Facebook: </t>
    </r>
    <r>
      <rPr>
        <rFont val="Arial"/>
        <b val="0"/>
        <color theme="1"/>
      </rPr>
      <t>482 Clicks, 5 saves, 5 Conversations</t>
    </r>
  </si>
  <si>
    <r>
      <rPr>
        <rFont val="Arial"/>
        <color theme="1"/>
      </rPr>
      <t xml:space="preserve">We showed the property over the weekend. The prospective tenant decided not to apply unfortunately. Another showing today cancelled, so we will follow up and see when we can reschedule. 
We also have a list of items we would recommend getting done to improve how the unit looks. Punch list below. Please let us know if you want us to address any of these issues immediately. We will also have the landscaper address the back patio area ASAP.
We are also running a $200 move-in special at no cost to you in order to generate more interest.
</t>
    </r>
    <r>
      <rPr>
        <rFont val="Arial"/>
        <b/>
        <color theme="1"/>
      </rPr>
      <t>Facebook:</t>
    </r>
    <r>
      <rPr>
        <rFont val="Arial"/>
        <color theme="1"/>
      </rPr>
      <t xml:space="preserve"> 405 clicks, 8 saves, 1 share, 3 conversations. 
Suggest painting doors for both units red again.
Need to get the access panel in the washer dryer area fixed
We need a new light switch panel in the kitchen
Would recommend adding back patio area to landscapers responsibility (needs to be sprayed and cut)
Light in stairway needs a new bulb
One new light bulb in upstairs bathroom above vanity
Need blinds fixed and or replaced (suggestion is to replace)
Bedroom upstairs to the left has a water stain that needs to be painted over
walls need a deep wash
Screen at the back door needs to be attached
Screen door upstairs needs to be fixed / not in it’s sliding space. Screen needs to be re attached</t>
    </r>
  </si>
  <si>
    <r>
      <rPr>
        <rFont val="Arial"/>
        <b val="0"/>
        <color theme="1"/>
      </rPr>
      <t xml:space="preserve">Rodrigo is showing this afternoon and meeting two different subs to price out the punchlist.
We also have an additional 4 showing scheduled for Friday afternoon and next week Wednesday afternoon, so hopefully things are moving in the right direction now. </t>
    </r>
    <r>
      <rPr>
        <rFont val="Arial"/>
        <b/>
        <color theme="1"/>
      </rPr>
      <t>I would suggest we get as much of the aethetic improvements completed before the Friday showings at 1pm.</t>
    </r>
    <r>
      <rPr>
        <rFont val="Arial"/>
        <b val="0"/>
        <color theme="1"/>
      </rPr>
      <t xml:space="preserve">
</t>
    </r>
    <r>
      <rPr>
        <rFont val="Arial"/>
        <b/>
        <color theme="1"/>
      </rPr>
      <t>Facebook:</t>
    </r>
    <r>
      <rPr>
        <rFont val="Arial"/>
        <b val="0"/>
        <color theme="1"/>
      </rPr>
      <t xml:space="preserve"> 292 Clicks, 4 saves, 0 shares, 4 conversations. </t>
    </r>
  </si>
  <si>
    <r>
      <rPr>
        <rFont val="Arial"/>
        <color theme="1"/>
      </rPr>
      <t xml:space="preserve">We had multiple canceled showings last week with no feedback unfortunately due to a lack of returned communications, but we still have another showing tomorrow afternoon. 
If we do not get traction this week, I would consider a reduction to $1800 for next week.
We will also be renewing the $200 move in special to try and increase interest.
</t>
    </r>
    <r>
      <rPr>
        <rFont val="Arial"/>
        <b/>
        <color theme="1"/>
      </rPr>
      <t>Facebook:</t>
    </r>
    <r>
      <rPr>
        <rFont val="Arial"/>
        <color theme="1"/>
      </rPr>
      <t xml:space="preserve"> 891 clicks, 12 saves, 0 shares, 8 conversations</t>
    </r>
  </si>
  <si>
    <r>
      <rPr>
        <rFont val="Arial"/>
        <b val="0"/>
        <color theme="1"/>
      </rPr>
      <t>We are getting some increases in activity, so the price has not dropped to $1800 yet. 
One showing canceled, but the two on Friday were interested and I invited them to apply. I will follow up with them this week to gauge if we need to go down to $1800 officially.</t>
    </r>
    <r>
      <rPr>
        <rFont val="Arial"/>
        <b/>
        <color theme="1"/>
      </rPr>
      <t xml:space="preserve">
Facebook: </t>
    </r>
    <r>
      <rPr>
        <rFont val="Arial"/>
        <b val="0"/>
        <color theme="1"/>
      </rPr>
      <t>78 clicks, 0 saves, 0 shares, 4 conversations</t>
    </r>
  </si>
  <si>
    <r>
      <rPr>
        <rFont val="Arial"/>
        <b val="0"/>
        <color theme="1"/>
      </rPr>
      <t xml:space="preserve">Due to a transition to a new scheduling software, the numbers may not be accurate this week, but moving forward they will be as the new software will be fully integrated into our metrics.
We just officially lowered the rent to $1800, so lets see if this helps generate new activity. I will follow up with the two prospects from last week and see if they are planning to turn in an application. 
We will begin providing water and snacks at the showings to improve the prospect experience.
</t>
    </r>
    <r>
      <rPr>
        <rFont val="Arial"/>
        <b/>
        <color theme="1"/>
      </rPr>
      <t xml:space="preserve">Facebook: </t>
    </r>
    <r>
      <rPr>
        <rFont val="Arial"/>
        <b val="0"/>
        <color theme="1"/>
      </rPr>
      <t>623 clicks, 5 saves, 0 shares, 3 conversations</t>
    </r>
  </si>
  <si>
    <t xml:space="preserve">We have hit another slow point for this unit and it continues to confuse us. After asking for feedback across multiple outlets, it seems many would like a W/D. 
We can continue to be patient, but I recommend we lower the price and/or consider the W/D addition depending on how aggressive you want to be. Please let me know your thoughts. </t>
  </si>
  <si>
    <t>Showings have slowed on this unit, but they seem to still trickle in once a week.
We had a good showing yesterday, but the woman is looking for a January/February move in so I am hoping she is a candidate for unit C if anything. We have another showing scheduled for this week, but they are also looking for a December move in, so we will update you if they submit an app.</t>
  </si>
  <si>
    <t>We have some leads that require follow up calls, but of the two showings last week, one needs something bigger and cannot have stairs, while the other was supposed to get back to me yesterday, so I will call them today.
We have a showing today at 4:30pm and we received an application for 588-C for a 12/15 expected move in date. Will update you when we finish processing.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</si>
</sst>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color theme="1"/>
      <name val="Arial"/>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9">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Font="1" applyNumberFormat="1"/>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0" fillId="0" fontId="14" numFmtId="0" xfId="0" applyAlignment="1" applyFont="1">
      <alignment vertical="bottom"/>
    </xf>
    <xf borderId="23" fillId="0" fontId="15" numFmtId="0" xfId="0" applyAlignment="1" applyBorder="1" applyFont="1">
      <alignment shrinkToFit="0" vertical="bottom" wrapText="1"/>
    </xf>
    <xf borderId="23" fillId="0" fontId="14" numFmtId="0" xfId="0" applyAlignment="1" applyBorder="1" applyFont="1">
      <alignment shrinkToFit="0" vertical="bottom" wrapText="1"/>
    </xf>
    <xf borderId="0" fillId="0" fontId="13" numFmtId="0" xfId="0" applyAlignment="1" applyFont="1">
      <alignment readingOrder="0"/>
    </xf>
    <xf borderId="22" fillId="0" fontId="9" numFmtId="0" xfId="0" applyAlignment="1" applyBorder="1" applyFont="1">
      <alignment horizontal="center"/>
    </xf>
    <xf borderId="23" fillId="0" fontId="14" numFmtId="0" xfId="0" applyAlignment="1" applyBorder="1" applyFont="1">
      <alignment shrinkToFit="0" vertical="bottom" wrapText="1"/>
    </xf>
    <xf borderId="0" fillId="0" fontId="9" numFmtId="0" xfId="0" applyAlignment="1" applyFont="1">
      <alignment horizontal="center"/>
    </xf>
    <xf borderId="0" fillId="0" fontId="14" numFmtId="0" xfId="0" applyAlignment="1" applyFont="1">
      <alignment vertical="bottom"/>
    </xf>
    <xf borderId="23" fillId="0" fontId="15" numFmtId="0" xfId="0" applyAlignment="1" applyBorder="1" applyFont="1">
      <alignment shrinkToFit="0" vertical="bottom"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588-Ray-Hill-Rd-UNIT-A-Mills-River-NC-28759/454509377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588 Ray Hill Rd Unit A</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November 3,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4</v>
      </c>
      <c r="C6" s="12" t="str">
        <f>IFERROR(__xludf.DUMMYFUNCTION("IF(COUNTUNIQUE('Data Entry'!B:B)&lt;2, """", TEXT(XLOOKUP(MAX('Data Entry'!B:B), 'Data Entry'!B:B, 'Data Entry'!C:C, 0, FALSE, -1) - IFERROR(XLOOKUP(LARGE(UNIQUE('Data Entry'!B:B), 2), 'Data Entry'!B:B, 'Data Entry'!C:C, 0, FALSE, -1), 0), ""+0;-0;0""))"),"+1")</f>
        <v>+1</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""+0;-0;0""))"),"+1")</f>
        <v>+1</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0</v>
      </c>
      <c r="C8" s="12" t="str">
        <f>IFERROR(__xludf.DUMMYFUNCTION("IF(COUNTUNIQUE('Data Entry'!B:B)&lt;2, """", TEXT(XLOOKUP(MAX('Data Entry'!B:B), 'Data Entry'!B:B, 'Data Entry'!E:E, 0, FALSE, -1) - IFERROR(XLOOKUP(LARGE(UNIQUE('Data Entry'!B:B), 2), 'Data Entry'!B:B, 'Data Entry'!E:E, 0, FALSE, -1), 0), ""+0;-0;0""))"),"0")</f>
        <v>0</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We have some leads that require follow up calls, but of the two showings last week, one needs something bigger and cannot have stairs, while the other was supposed to get back to me yesterday, so I will call them today.
We have a showing today at 4:30pm and we received an application for 588-C for a 12/15 expected move in date. Will update you when we finish processing.</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40</v>
      </c>
      <c r="C16" s="23">
        <f>'Data Entry'!I11</f>
        <v>13.33333333</v>
      </c>
      <c r="D16" s="7"/>
      <c r="E16" s="7"/>
      <c r="F16" s="4"/>
      <c r="G16" s="4"/>
      <c r="H16" s="4"/>
      <c r="I16" s="4"/>
      <c r="J16" s="4"/>
      <c r="K16" s="4"/>
      <c r="L16" s="4"/>
      <c r="M16" s="4"/>
      <c r="N16" s="4"/>
      <c r="O16" s="4"/>
      <c r="P16" s="4"/>
      <c r="Q16" s="4"/>
      <c r="R16" s="4"/>
      <c r="S16" s="4"/>
      <c r="T16" s="4"/>
      <c r="U16" s="4"/>
      <c r="V16" s="4"/>
      <c r="W16" s="4"/>
    </row>
    <row r="17">
      <c r="A17" s="5" t="s">
        <v>5</v>
      </c>
      <c r="B17" s="23">
        <f>'Data Entry'!I5</f>
        <v>17</v>
      </c>
      <c r="C17" s="23">
        <f>'Data Entry'!I12</f>
        <v>5.666666667</v>
      </c>
      <c r="D17" s="7"/>
      <c r="E17" s="7"/>
      <c r="F17" s="4"/>
      <c r="G17" s="4"/>
      <c r="H17" s="4"/>
      <c r="I17" s="4"/>
      <c r="J17" s="4"/>
      <c r="K17" s="4"/>
      <c r="L17" s="4"/>
      <c r="M17" s="4"/>
      <c r="N17" s="4"/>
      <c r="O17" s="4"/>
      <c r="P17" s="4"/>
      <c r="Q17" s="4"/>
      <c r="R17" s="4"/>
      <c r="S17" s="4"/>
      <c r="T17" s="4"/>
      <c r="U17" s="4"/>
      <c r="V17" s="4"/>
      <c r="W17" s="4"/>
    </row>
    <row r="18">
      <c r="A18" s="5" t="s">
        <v>6</v>
      </c>
      <c r="B18" s="23">
        <f>'Data Entry'!I6</f>
        <v>1</v>
      </c>
      <c r="C18" s="23">
        <f>'Data Entry'!I13</f>
        <v>0.3333333333</v>
      </c>
      <c r="D18" s="7"/>
      <c r="E18" s="7"/>
      <c r="F18" s="4"/>
      <c r="G18" s="4"/>
      <c r="H18" s="4"/>
      <c r="I18" s="4"/>
      <c r="J18" s="4"/>
      <c r="K18" s="4"/>
      <c r="L18" s="4"/>
      <c r="M18" s="4"/>
      <c r="N18" s="4"/>
      <c r="O18" s="4"/>
      <c r="P18" s="4"/>
      <c r="Q18" s="4"/>
      <c r="R18" s="4"/>
      <c r="S18" s="4"/>
      <c r="T18" s="4"/>
      <c r="U18" s="4"/>
      <c r="V18" s="4"/>
      <c r="W18" s="4"/>
    </row>
    <row r="19">
      <c r="A19" s="13" t="s">
        <v>11</v>
      </c>
      <c r="B19" s="24">
        <f>'Data Entry'!D2</f>
        <v>124</v>
      </c>
      <c r="C19" s="3"/>
      <c r="D19" s="7"/>
      <c r="E19" s="7"/>
      <c r="F19" s="4"/>
      <c r="G19" s="4"/>
      <c r="H19" s="4"/>
      <c r="I19" s="4"/>
      <c r="J19" s="4"/>
      <c r="K19" s="4"/>
      <c r="L19" s="4"/>
      <c r="M19" s="4"/>
      <c r="N19" s="4"/>
      <c r="O19" s="4"/>
      <c r="P19" s="4"/>
      <c r="Q19" s="4"/>
      <c r="R19" s="4"/>
      <c r="S19" s="4"/>
      <c r="T19" s="4"/>
      <c r="U19" s="4"/>
      <c r="V19" s="4"/>
      <c r="W19" s="4"/>
    </row>
    <row r="20">
      <c r="A20" s="5" t="s">
        <v>12</v>
      </c>
      <c r="B20" s="25">
        <f>'Data Entry'!D3</f>
        <v>1700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https://www.zillow.com/homedetails/588-Ray-Hill-Rd-UNIT-A-Mills-River-NC-28759/454509377_zpid/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124.0</v>
      </c>
      <c r="E2" s="32" t="s">
        <v>13</v>
      </c>
      <c r="F2" s="34" t="s">
        <v>15</v>
      </c>
      <c r="H2" s="35"/>
      <c r="I2" s="36"/>
    </row>
    <row r="3">
      <c r="B3" s="31"/>
      <c r="C3" s="37" t="s">
        <v>16</v>
      </c>
      <c r="D3" s="38">
        <v>1700.0</v>
      </c>
      <c r="E3" s="39"/>
      <c r="F3" s="40"/>
      <c r="H3" s="35"/>
      <c r="I3" s="36"/>
    </row>
    <row r="4">
      <c r="B4" s="41" t="s">
        <v>17</v>
      </c>
      <c r="C4" s="42" t="s">
        <v>18</v>
      </c>
      <c r="D4" s="42" t="s">
        <v>19</v>
      </c>
      <c r="E4" s="42" t="s">
        <v>20</v>
      </c>
      <c r="F4" s="43" t="s">
        <v>7</v>
      </c>
      <c r="H4" s="35" t="s">
        <v>4</v>
      </c>
      <c r="I4" s="36">
        <f>SUM(C5:C43)</f>
        <v>40</v>
      </c>
    </row>
    <row r="5">
      <c r="B5" s="44"/>
      <c r="C5" s="31"/>
      <c r="D5" s="45"/>
      <c r="E5" s="45"/>
      <c r="F5" s="46" t="s">
        <v>21</v>
      </c>
      <c r="H5" s="35" t="s">
        <v>5</v>
      </c>
      <c r="I5" s="36">
        <f>SUM(D5:D36)</f>
        <v>17</v>
      </c>
    </row>
    <row r="6">
      <c r="B6" s="44"/>
      <c r="C6" s="31"/>
      <c r="D6" s="45"/>
      <c r="E6" s="45"/>
      <c r="F6" s="47" t="s">
        <v>22</v>
      </c>
      <c r="H6" s="48" t="s">
        <v>6</v>
      </c>
      <c r="I6" s="36">
        <f>SUM(E5:E39)</f>
        <v>1</v>
      </c>
    </row>
    <row r="7">
      <c r="B7" s="49"/>
      <c r="C7" s="31"/>
      <c r="D7" s="45"/>
      <c r="E7" s="45"/>
      <c r="F7" s="50" t="s">
        <v>23</v>
      </c>
      <c r="H7" s="35"/>
      <c r="I7" s="36"/>
    </row>
    <row r="8">
      <c r="B8" s="49"/>
      <c r="C8" s="51"/>
      <c r="D8" s="52"/>
      <c r="E8" s="52"/>
      <c r="F8" s="53" t="s">
        <v>24</v>
      </c>
      <c r="H8" s="48"/>
      <c r="I8" s="36"/>
    </row>
    <row r="9">
      <c r="B9" s="54"/>
      <c r="C9" s="55"/>
      <c r="D9" s="52"/>
      <c r="E9" s="52"/>
      <c r="F9" s="53" t="s">
        <v>25</v>
      </c>
      <c r="I9" s="36"/>
    </row>
    <row r="10">
      <c r="B10" s="54"/>
      <c r="C10" s="55"/>
      <c r="D10" s="52"/>
      <c r="E10" s="52"/>
      <c r="F10" s="50" t="s">
        <v>26</v>
      </c>
      <c r="H10" s="29" t="s">
        <v>27</v>
      </c>
      <c r="I10" s="30"/>
    </row>
    <row r="11">
      <c r="B11" s="54"/>
      <c r="C11" s="55"/>
      <c r="D11" s="52"/>
      <c r="E11" s="52"/>
      <c r="F11" s="50" t="s">
        <v>28</v>
      </c>
      <c r="H11" s="35" t="s">
        <v>4</v>
      </c>
      <c r="I11" s="30">
        <f>AVERAGE(C5:C34)</f>
        <v>13.33333333</v>
      </c>
    </row>
    <row r="12">
      <c r="B12" s="49"/>
      <c r="C12" s="51"/>
      <c r="D12" s="52"/>
      <c r="E12" s="52"/>
      <c r="F12" s="50" t="s">
        <v>29</v>
      </c>
      <c r="H12" s="35" t="s">
        <v>5</v>
      </c>
      <c r="I12" s="30">
        <f>AVERAGE(D5:D38)</f>
        <v>5.666666667</v>
      </c>
    </row>
    <row r="13">
      <c r="B13" s="49"/>
      <c r="C13" s="51"/>
      <c r="D13" s="52"/>
      <c r="E13" s="52"/>
      <c r="F13" s="50" t="s">
        <v>30</v>
      </c>
      <c r="H13" s="48" t="s">
        <v>6</v>
      </c>
      <c r="I13" s="30">
        <f>AVERAGE(E5:E39)</f>
        <v>0.3333333333</v>
      </c>
    </row>
    <row r="14">
      <c r="B14" s="49"/>
      <c r="C14" s="51"/>
      <c r="D14" s="52"/>
      <c r="E14" s="52"/>
      <c r="F14" s="53" t="s">
        <v>31</v>
      </c>
      <c r="I14" s="30"/>
    </row>
    <row r="15">
      <c r="B15" s="49"/>
      <c r="C15" s="51"/>
      <c r="D15" s="52"/>
      <c r="E15" s="52"/>
      <c r="F15" s="50" t="s">
        <v>32</v>
      </c>
      <c r="I15" s="30"/>
    </row>
    <row r="16">
      <c r="B16" s="49"/>
      <c r="C16" s="51"/>
      <c r="D16" s="52"/>
      <c r="E16" s="52"/>
      <c r="F16" s="53" t="s">
        <v>33</v>
      </c>
      <c r="I16" s="30"/>
    </row>
    <row r="17">
      <c r="B17" s="49"/>
      <c r="C17" s="51"/>
      <c r="D17" s="52"/>
      <c r="E17" s="52"/>
      <c r="F17" s="50" t="s">
        <v>34</v>
      </c>
      <c r="I17" s="30"/>
    </row>
    <row r="18">
      <c r="B18" s="49"/>
      <c r="C18" s="51"/>
      <c r="D18" s="52"/>
      <c r="E18" s="52"/>
      <c r="F18" s="53" t="s">
        <v>35</v>
      </c>
      <c r="I18" s="30"/>
    </row>
    <row r="19">
      <c r="B19" s="49"/>
      <c r="C19" s="51"/>
      <c r="D19" s="52"/>
      <c r="E19" s="52"/>
      <c r="F19" s="53" t="s">
        <v>36</v>
      </c>
      <c r="I19" s="30"/>
    </row>
    <row r="20">
      <c r="B20" s="54">
        <v>45947.0</v>
      </c>
      <c r="C20" s="55">
        <v>33.0</v>
      </c>
      <c r="D20" s="55">
        <v>14.0</v>
      </c>
      <c r="E20" s="55">
        <v>1.0</v>
      </c>
      <c r="F20" s="50" t="s">
        <v>37</v>
      </c>
      <c r="I20" s="30"/>
    </row>
    <row r="21">
      <c r="B21" s="54">
        <v>45957.0</v>
      </c>
      <c r="C21" s="55">
        <v>3.0</v>
      </c>
      <c r="D21" s="55">
        <v>1.0</v>
      </c>
      <c r="E21" s="55">
        <v>0.0</v>
      </c>
      <c r="F21" s="50" t="s">
        <v>38</v>
      </c>
      <c r="I21" s="30"/>
    </row>
    <row r="22">
      <c r="B22" s="54">
        <v>45964.0</v>
      </c>
      <c r="C22" s="55">
        <v>4.0</v>
      </c>
      <c r="D22" s="55">
        <v>2.0</v>
      </c>
      <c r="E22" s="55">
        <v>0.0</v>
      </c>
      <c r="F22" s="50" t="s">
        <v>39</v>
      </c>
      <c r="I22" s="30"/>
    </row>
    <row r="23">
      <c r="B23" s="49"/>
      <c r="C23" s="51"/>
      <c r="D23" s="51"/>
      <c r="E23" s="51"/>
      <c r="F23" s="56"/>
      <c r="I23" s="30"/>
    </row>
    <row r="24">
      <c r="B24" s="49"/>
      <c r="C24" s="51"/>
      <c r="D24" s="51"/>
      <c r="E24" s="51"/>
      <c r="F24" s="56"/>
      <c r="I24" s="30"/>
    </row>
    <row r="25">
      <c r="B25" s="49"/>
      <c r="C25" s="51"/>
      <c r="D25" s="51"/>
      <c r="E25" s="51"/>
      <c r="F25" s="56"/>
      <c r="I25" s="30"/>
    </row>
    <row r="26">
      <c r="B26" s="49"/>
      <c r="C26" s="51"/>
      <c r="D26" s="51"/>
      <c r="E26" s="51"/>
      <c r="F26" s="56"/>
      <c r="I26" s="30"/>
    </row>
    <row r="27">
      <c r="B27" s="49"/>
      <c r="C27" s="51"/>
      <c r="D27" s="51"/>
      <c r="E27" s="51"/>
      <c r="F27" s="56"/>
      <c r="H27" s="5" t="s">
        <v>4</v>
      </c>
      <c r="I27" s="30"/>
    </row>
    <row r="28">
      <c r="B28" s="49"/>
      <c r="C28" s="51"/>
      <c r="D28" s="51"/>
      <c r="E28" s="51"/>
      <c r="F28" s="56"/>
      <c r="H28" s="5" t="s">
        <v>5</v>
      </c>
      <c r="I28" s="30"/>
    </row>
    <row r="29">
      <c r="B29" s="49"/>
      <c r="C29" s="51"/>
      <c r="D29" s="51"/>
      <c r="E29" s="51"/>
      <c r="F29" s="56"/>
      <c r="H29" s="13" t="s">
        <v>6</v>
      </c>
      <c r="I29" s="30"/>
    </row>
    <row r="30">
      <c r="B30" s="49"/>
      <c r="C30" s="51"/>
      <c r="D30" s="51"/>
      <c r="E30" s="51"/>
      <c r="F30" s="56"/>
      <c r="I30" s="30"/>
    </row>
    <row r="31">
      <c r="B31" s="51"/>
      <c r="C31" s="51"/>
      <c r="D31" s="51"/>
      <c r="E31" s="51"/>
      <c r="F31" s="57"/>
      <c r="I31" s="30"/>
    </row>
    <row r="32">
      <c r="B32" s="51"/>
      <c r="C32" s="51"/>
      <c r="D32" s="51"/>
      <c r="E32" s="51"/>
      <c r="F32" s="57"/>
      <c r="I32" s="30"/>
    </row>
    <row r="33">
      <c r="B33" s="51"/>
      <c r="C33" s="51"/>
      <c r="D33" s="51"/>
      <c r="E33" s="51"/>
      <c r="F33" s="57"/>
      <c r="I33" s="30"/>
    </row>
    <row r="34">
      <c r="B34" s="51"/>
      <c r="C34" s="51"/>
      <c r="D34" s="51"/>
      <c r="E34" s="51"/>
      <c r="F34" s="57"/>
      <c r="I34" s="30"/>
    </row>
    <row r="35">
      <c r="B35" s="51"/>
      <c r="C35" s="51"/>
      <c r="D35" s="51"/>
      <c r="E35" s="51"/>
      <c r="F35" s="57"/>
      <c r="I35" s="30"/>
    </row>
    <row r="36">
      <c r="B36" s="51"/>
      <c r="C36" s="51"/>
      <c r="D36" s="51"/>
      <c r="E36" s="51"/>
      <c r="F36" s="57"/>
      <c r="I36" s="30"/>
    </row>
    <row r="37">
      <c r="B37" s="51"/>
      <c r="C37" s="51"/>
      <c r="D37" s="51"/>
      <c r="E37" s="51"/>
      <c r="F37" s="57"/>
      <c r="I37" s="30"/>
    </row>
    <row r="38">
      <c r="B38" s="51"/>
      <c r="C38" s="51"/>
      <c r="D38" s="51"/>
      <c r="E38" s="51"/>
      <c r="F38" s="57"/>
      <c r="I38" s="30"/>
    </row>
    <row r="39">
      <c r="B39" s="51"/>
      <c r="C39" s="51"/>
      <c r="D39" s="51"/>
      <c r="E39" s="51"/>
      <c r="F39" s="57"/>
      <c r="I39" s="30"/>
    </row>
    <row r="40">
      <c r="F40" s="57"/>
      <c r="I40" s="30"/>
    </row>
    <row r="41">
      <c r="F41" s="57"/>
      <c r="I41" s="30"/>
    </row>
    <row r="42">
      <c r="F42" s="57"/>
      <c r="I42" s="30"/>
    </row>
    <row r="43">
      <c r="F43" s="57"/>
      <c r="I43" s="30"/>
    </row>
    <row r="44">
      <c r="F44" s="58"/>
      <c r="I44" s="30"/>
    </row>
    <row r="45">
      <c r="F45" s="58"/>
      <c r="I45" s="30"/>
    </row>
    <row r="46">
      <c r="F46" s="58"/>
      <c r="I46" s="30"/>
    </row>
    <row r="47">
      <c r="F47" s="58"/>
      <c r="I47" s="30"/>
    </row>
    <row r="48">
      <c r="F48" s="58"/>
      <c r="I48" s="30"/>
    </row>
    <row r="49">
      <c r="F49" s="58"/>
      <c r="I49" s="30"/>
    </row>
    <row r="50">
      <c r="F50" s="58"/>
      <c r="I50" s="30"/>
    </row>
    <row r="51">
      <c r="F51" s="58"/>
      <c r="I51" s="30"/>
    </row>
    <row r="52">
      <c r="F52" s="58"/>
      <c r="I52" s="30"/>
    </row>
    <row r="53">
      <c r="F53" s="58"/>
      <c r="I53" s="30"/>
    </row>
    <row r="54">
      <c r="F54" s="58"/>
      <c r="I54" s="30"/>
    </row>
    <row r="55">
      <c r="F55" s="58"/>
      <c r="I55" s="30"/>
    </row>
    <row r="56">
      <c r="F56" s="58"/>
      <c r="I56" s="30"/>
    </row>
    <row r="57">
      <c r="F57" s="58"/>
      <c r="I57" s="30"/>
    </row>
    <row r="58">
      <c r="F58" s="58"/>
      <c r="I58" s="30"/>
    </row>
    <row r="59">
      <c r="F59" s="58"/>
      <c r="I59" s="30"/>
    </row>
    <row r="60">
      <c r="F60" s="58"/>
      <c r="I60" s="30"/>
    </row>
    <row r="61">
      <c r="F61" s="58"/>
      <c r="I61" s="30"/>
    </row>
    <row r="62">
      <c r="F62" s="58"/>
      <c r="I62" s="30"/>
    </row>
    <row r="63">
      <c r="F63" s="58"/>
      <c r="I63" s="30"/>
    </row>
    <row r="64">
      <c r="F64" s="58"/>
      <c r="I64" s="30"/>
    </row>
    <row r="65">
      <c r="F65" s="58"/>
      <c r="I65" s="30"/>
    </row>
    <row r="66">
      <c r="F66" s="58"/>
      <c r="I66" s="30"/>
    </row>
    <row r="67">
      <c r="F67" s="58"/>
      <c r="I67" s="30"/>
    </row>
    <row r="68">
      <c r="F68" s="58"/>
      <c r="I68" s="30"/>
    </row>
    <row r="69">
      <c r="F69" s="58"/>
      <c r="I69" s="30"/>
    </row>
    <row r="70">
      <c r="F70" s="58"/>
      <c r="I70" s="30"/>
    </row>
    <row r="71">
      <c r="F71" s="58"/>
      <c r="I71" s="30"/>
    </row>
    <row r="72">
      <c r="F72" s="58"/>
      <c r="I72" s="30"/>
    </row>
    <row r="73">
      <c r="F73" s="58"/>
      <c r="I73" s="30"/>
    </row>
    <row r="74">
      <c r="F74" s="58"/>
      <c r="I74" s="30"/>
    </row>
    <row r="75">
      <c r="F75" s="58"/>
      <c r="I75" s="30"/>
    </row>
    <row r="76">
      <c r="F76" s="58"/>
      <c r="I76" s="30"/>
    </row>
    <row r="77">
      <c r="F77" s="58"/>
      <c r="I77" s="30"/>
    </row>
    <row r="78">
      <c r="F78" s="58"/>
      <c r="I78" s="30"/>
    </row>
    <row r="79">
      <c r="F79" s="58"/>
      <c r="I79" s="30"/>
    </row>
    <row r="80">
      <c r="F80" s="58"/>
      <c r="I80" s="30"/>
    </row>
    <row r="81">
      <c r="F81" s="58"/>
      <c r="I81" s="30"/>
    </row>
    <row r="82">
      <c r="F82" s="58"/>
      <c r="I82" s="30"/>
    </row>
    <row r="83">
      <c r="F83" s="58"/>
      <c r="I83" s="30"/>
    </row>
    <row r="84">
      <c r="F84" s="58"/>
      <c r="I84" s="30"/>
    </row>
    <row r="85">
      <c r="F85" s="58"/>
      <c r="I85" s="30"/>
    </row>
    <row r="86">
      <c r="F86" s="58"/>
      <c r="I86" s="30"/>
    </row>
    <row r="87">
      <c r="F87" s="58"/>
      <c r="I87" s="30"/>
    </row>
    <row r="88">
      <c r="F88" s="58"/>
      <c r="I88" s="30"/>
    </row>
    <row r="89">
      <c r="F89" s="58"/>
      <c r="I89" s="30"/>
    </row>
    <row r="90">
      <c r="F90" s="58"/>
      <c r="I90" s="30"/>
    </row>
    <row r="91">
      <c r="F91" s="58"/>
      <c r="I91" s="30"/>
    </row>
    <row r="92">
      <c r="F92" s="58"/>
      <c r="I92" s="30"/>
    </row>
    <row r="93">
      <c r="F93" s="58"/>
      <c r="I93" s="30"/>
    </row>
    <row r="94">
      <c r="F94" s="58"/>
      <c r="I94" s="30"/>
    </row>
    <row r="95">
      <c r="F95" s="58"/>
      <c r="I95" s="30"/>
    </row>
    <row r="96">
      <c r="F96" s="58"/>
      <c r="I96" s="30"/>
    </row>
    <row r="97">
      <c r="F97" s="58"/>
      <c r="I97" s="30"/>
    </row>
    <row r="98">
      <c r="F98" s="58"/>
      <c r="I98" s="30"/>
    </row>
    <row r="99">
      <c r="F99" s="58"/>
      <c r="I99" s="30"/>
    </row>
    <row r="100">
      <c r="F100" s="58"/>
      <c r="I100" s="30"/>
    </row>
    <row r="101">
      <c r="F101" s="58"/>
      <c r="I101" s="30"/>
    </row>
    <row r="102">
      <c r="F102" s="58"/>
      <c r="I102" s="30"/>
    </row>
    <row r="103">
      <c r="F103" s="58"/>
      <c r="I103" s="30"/>
    </row>
    <row r="104">
      <c r="F104" s="58"/>
      <c r="I104" s="30"/>
    </row>
    <row r="105">
      <c r="F105" s="58"/>
      <c r="I105" s="30"/>
    </row>
    <row r="106">
      <c r="F106" s="58"/>
      <c r="I106" s="30"/>
    </row>
    <row r="107">
      <c r="F107" s="58"/>
      <c r="I107" s="30"/>
    </row>
    <row r="108">
      <c r="F108" s="58"/>
      <c r="I108" s="30"/>
    </row>
    <row r="109">
      <c r="F109" s="58"/>
      <c r="I109" s="30"/>
    </row>
    <row r="110">
      <c r="F110" s="58"/>
      <c r="I110" s="30"/>
    </row>
    <row r="111">
      <c r="F111" s="58"/>
      <c r="I111" s="30"/>
    </row>
    <row r="112">
      <c r="F112" s="58"/>
      <c r="I112" s="30"/>
    </row>
    <row r="113">
      <c r="F113" s="58"/>
      <c r="I113" s="30"/>
    </row>
    <row r="114">
      <c r="F114" s="58"/>
      <c r="I114" s="30"/>
    </row>
    <row r="115">
      <c r="F115" s="58"/>
      <c r="I115" s="30"/>
    </row>
    <row r="116">
      <c r="F116" s="58"/>
      <c r="I116" s="30"/>
    </row>
    <row r="117">
      <c r="F117" s="58"/>
      <c r="I117" s="30"/>
    </row>
    <row r="118">
      <c r="F118" s="58"/>
      <c r="I118" s="30"/>
    </row>
    <row r="119">
      <c r="F119" s="58"/>
      <c r="I119" s="30"/>
    </row>
    <row r="120">
      <c r="F120" s="58"/>
      <c r="I120" s="30"/>
    </row>
    <row r="121">
      <c r="F121" s="58"/>
      <c r="I121" s="30"/>
    </row>
    <row r="122">
      <c r="F122" s="58"/>
      <c r="I122" s="30"/>
    </row>
    <row r="123">
      <c r="F123" s="58"/>
      <c r="I123" s="30"/>
    </row>
    <row r="124">
      <c r="F124" s="58"/>
      <c r="I124" s="30"/>
    </row>
    <row r="125">
      <c r="F125" s="58"/>
      <c r="I125" s="30"/>
    </row>
    <row r="126">
      <c r="F126" s="58"/>
      <c r="I126" s="30"/>
    </row>
    <row r="127">
      <c r="F127" s="58"/>
      <c r="I127" s="30"/>
    </row>
    <row r="128">
      <c r="F128" s="58"/>
      <c r="I128" s="30"/>
    </row>
    <row r="129">
      <c r="F129" s="58"/>
      <c r="I129" s="30"/>
    </row>
    <row r="130">
      <c r="F130" s="58"/>
      <c r="I130" s="30"/>
    </row>
    <row r="131">
      <c r="F131" s="58"/>
      <c r="I131" s="30"/>
    </row>
    <row r="132">
      <c r="F132" s="58"/>
      <c r="I132" s="30"/>
    </row>
    <row r="133">
      <c r="F133" s="58"/>
      <c r="I133" s="30"/>
    </row>
    <row r="134">
      <c r="F134" s="58"/>
      <c r="I134" s="30"/>
    </row>
    <row r="135">
      <c r="F135" s="58"/>
      <c r="I135" s="30"/>
    </row>
    <row r="136">
      <c r="F136" s="58"/>
      <c r="I136" s="30"/>
    </row>
    <row r="137">
      <c r="F137" s="58"/>
      <c r="I137" s="30"/>
    </row>
    <row r="138">
      <c r="F138" s="58"/>
      <c r="I138" s="30"/>
    </row>
    <row r="139">
      <c r="F139" s="58"/>
      <c r="I139" s="30"/>
    </row>
    <row r="140">
      <c r="F140" s="58"/>
      <c r="I140" s="30"/>
    </row>
    <row r="141">
      <c r="F141" s="58"/>
      <c r="I141" s="30"/>
    </row>
    <row r="142">
      <c r="F142" s="58"/>
      <c r="I142" s="30"/>
    </row>
    <row r="143">
      <c r="F143" s="58"/>
      <c r="I143" s="30"/>
    </row>
    <row r="144">
      <c r="F144" s="58"/>
      <c r="I144" s="30"/>
    </row>
    <row r="145">
      <c r="F145" s="58"/>
      <c r="I145" s="30"/>
    </row>
    <row r="146">
      <c r="F146" s="58"/>
      <c r="I146" s="30"/>
    </row>
    <row r="147">
      <c r="F147" s="58"/>
      <c r="I147" s="30"/>
    </row>
    <row r="148">
      <c r="F148" s="58"/>
      <c r="I148" s="30"/>
    </row>
    <row r="149">
      <c r="F149" s="58"/>
      <c r="I149" s="30"/>
    </row>
    <row r="150">
      <c r="F150" s="58"/>
      <c r="I150" s="30"/>
    </row>
    <row r="151">
      <c r="F151" s="58"/>
      <c r="I151" s="30"/>
    </row>
    <row r="152">
      <c r="F152" s="58"/>
      <c r="I152" s="30"/>
    </row>
    <row r="153">
      <c r="F153" s="58"/>
      <c r="I153" s="30"/>
    </row>
    <row r="154">
      <c r="F154" s="58"/>
      <c r="I154" s="30"/>
    </row>
    <row r="155">
      <c r="F155" s="58"/>
      <c r="I155" s="30"/>
    </row>
    <row r="156">
      <c r="F156" s="58"/>
      <c r="I156" s="30"/>
    </row>
    <row r="157">
      <c r="F157" s="58"/>
      <c r="I157" s="30"/>
    </row>
    <row r="158">
      <c r="F158" s="58"/>
      <c r="I158" s="30"/>
    </row>
    <row r="159">
      <c r="F159" s="58"/>
      <c r="I159" s="30"/>
    </row>
    <row r="160">
      <c r="F160" s="58"/>
      <c r="I160" s="30"/>
    </row>
    <row r="161">
      <c r="F161" s="58"/>
      <c r="I161" s="30"/>
    </row>
    <row r="162">
      <c r="F162" s="58"/>
      <c r="I162" s="30"/>
    </row>
    <row r="163">
      <c r="F163" s="58"/>
      <c r="I163" s="30"/>
    </row>
    <row r="164">
      <c r="F164" s="58"/>
      <c r="I164" s="30"/>
    </row>
    <row r="165">
      <c r="F165" s="58"/>
      <c r="I165" s="30"/>
    </row>
    <row r="166">
      <c r="F166" s="58"/>
      <c r="I166" s="30"/>
    </row>
    <row r="167">
      <c r="F167" s="58"/>
      <c r="I167" s="30"/>
    </row>
    <row r="168">
      <c r="F168" s="58"/>
      <c r="I168" s="30"/>
    </row>
    <row r="169">
      <c r="F169" s="58"/>
      <c r="I169" s="30"/>
    </row>
    <row r="170">
      <c r="F170" s="58"/>
      <c r="I170" s="30"/>
    </row>
    <row r="171">
      <c r="F171" s="58"/>
      <c r="I171" s="30"/>
    </row>
    <row r="172">
      <c r="F172" s="58"/>
      <c r="I172" s="30"/>
    </row>
    <row r="173">
      <c r="F173" s="58"/>
      <c r="I173" s="30"/>
    </row>
    <row r="174">
      <c r="F174" s="58"/>
      <c r="I174" s="30"/>
    </row>
    <row r="175">
      <c r="F175" s="58"/>
      <c r="I175" s="30"/>
    </row>
    <row r="176">
      <c r="F176" s="58"/>
      <c r="I176" s="30"/>
    </row>
    <row r="177">
      <c r="F177" s="58"/>
      <c r="I177" s="30"/>
    </row>
    <row r="178">
      <c r="F178" s="58"/>
      <c r="I178" s="30"/>
    </row>
    <row r="179">
      <c r="F179" s="58"/>
      <c r="I179" s="30"/>
    </row>
    <row r="180">
      <c r="F180" s="58"/>
      <c r="I180" s="30"/>
    </row>
    <row r="181">
      <c r="F181" s="58"/>
      <c r="I181" s="30"/>
    </row>
    <row r="182">
      <c r="F182" s="58"/>
      <c r="I182" s="30"/>
    </row>
    <row r="183">
      <c r="F183" s="58"/>
      <c r="I183" s="30"/>
    </row>
    <row r="184">
      <c r="F184" s="58"/>
      <c r="I184" s="30"/>
    </row>
    <row r="185">
      <c r="F185" s="58"/>
      <c r="I185" s="30"/>
    </row>
    <row r="186">
      <c r="F186" s="58"/>
      <c r="I186" s="30"/>
    </row>
    <row r="187">
      <c r="F187" s="58"/>
      <c r="I187" s="30"/>
    </row>
    <row r="188">
      <c r="F188" s="58"/>
      <c r="I188" s="30"/>
    </row>
    <row r="189">
      <c r="F189" s="58"/>
      <c r="I189" s="30"/>
    </row>
    <row r="190">
      <c r="F190" s="58"/>
      <c r="I190" s="30"/>
    </row>
    <row r="191">
      <c r="F191" s="58"/>
      <c r="I191" s="30"/>
    </row>
    <row r="192">
      <c r="F192" s="58"/>
      <c r="I192" s="30"/>
    </row>
    <row r="193">
      <c r="F193" s="58"/>
      <c r="I193" s="30"/>
    </row>
    <row r="194">
      <c r="F194" s="58"/>
      <c r="I194" s="30"/>
    </row>
    <row r="195">
      <c r="F195" s="58"/>
      <c r="I195" s="30"/>
    </row>
    <row r="196">
      <c r="F196" s="58"/>
      <c r="I196" s="30"/>
    </row>
    <row r="197">
      <c r="F197" s="58"/>
      <c r="I197" s="30"/>
    </row>
    <row r="198">
      <c r="F198" s="58"/>
      <c r="I198" s="30"/>
    </row>
    <row r="199">
      <c r="F199" s="58"/>
      <c r="I199" s="30"/>
    </row>
    <row r="200">
      <c r="F200" s="58"/>
      <c r="I200" s="30"/>
    </row>
    <row r="201">
      <c r="F201" s="58"/>
      <c r="I201" s="30"/>
    </row>
    <row r="202">
      <c r="F202" s="58"/>
      <c r="I202" s="30"/>
    </row>
    <row r="203">
      <c r="F203" s="58"/>
      <c r="I203" s="30"/>
    </row>
    <row r="204">
      <c r="F204" s="58"/>
      <c r="I204" s="30"/>
    </row>
    <row r="205">
      <c r="F205" s="58"/>
      <c r="I205" s="30"/>
    </row>
    <row r="206">
      <c r="F206" s="58"/>
      <c r="I206" s="30"/>
    </row>
    <row r="207">
      <c r="F207" s="58"/>
      <c r="I207" s="30"/>
    </row>
    <row r="208">
      <c r="F208" s="58"/>
      <c r="I208" s="30"/>
    </row>
    <row r="209">
      <c r="F209" s="58"/>
      <c r="I209" s="30"/>
    </row>
    <row r="210">
      <c r="F210" s="58"/>
      <c r="I210" s="30"/>
    </row>
    <row r="211">
      <c r="F211" s="58"/>
      <c r="I211" s="30"/>
    </row>
    <row r="212">
      <c r="F212" s="58"/>
      <c r="I212" s="30"/>
    </row>
    <row r="213">
      <c r="F213" s="58"/>
      <c r="I213" s="30"/>
    </row>
    <row r="214">
      <c r="F214" s="58"/>
      <c r="I214" s="30"/>
    </row>
    <row r="215">
      <c r="F215" s="58"/>
      <c r="I215" s="30"/>
    </row>
    <row r="216">
      <c r="F216" s="58"/>
      <c r="I216" s="30"/>
    </row>
    <row r="217">
      <c r="F217" s="58"/>
      <c r="I217" s="30"/>
    </row>
    <row r="218">
      <c r="F218" s="58"/>
      <c r="I218" s="30"/>
    </row>
    <row r="219">
      <c r="F219" s="58"/>
      <c r="I219" s="30"/>
    </row>
    <row r="220">
      <c r="F220" s="58"/>
      <c r="I220" s="30"/>
    </row>
    <row r="221">
      <c r="F221" s="58"/>
      <c r="I221" s="30"/>
    </row>
    <row r="222">
      <c r="F222" s="58"/>
      <c r="I222" s="30"/>
    </row>
    <row r="223">
      <c r="F223" s="58"/>
      <c r="I223" s="30"/>
    </row>
    <row r="224">
      <c r="F224" s="58"/>
      <c r="I224" s="30"/>
    </row>
    <row r="225">
      <c r="F225" s="58"/>
      <c r="I225" s="30"/>
    </row>
    <row r="226">
      <c r="F226" s="58"/>
      <c r="I226" s="30"/>
    </row>
    <row r="227">
      <c r="F227" s="58"/>
      <c r="I227" s="30"/>
    </row>
    <row r="228">
      <c r="F228" s="58"/>
      <c r="I228" s="30"/>
    </row>
    <row r="229">
      <c r="F229" s="58"/>
      <c r="I229" s="30"/>
    </row>
    <row r="230">
      <c r="F230" s="58"/>
      <c r="I230" s="30"/>
    </row>
    <row r="231">
      <c r="F231" s="58"/>
      <c r="I231" s="30"/>
    </row>
    <row r="232">
      <c r="F232" s="58"/>
      <c r="I232" s="30"/>
    </row>
    <row r="233">
      <c r="F233" s="58"/>
      <c r="I233" s="30"/>
    </row>
    <row r="234">
      <c r="F234" s="58"/>
      <c r="I234" s="30"/>
    </row>
    <row r="235">
      <c r="F235" s="58"/>
      <c r="I235" s="30"/>
    </row>
    <row r="236">
      <c r="F236" s="58"/>
      <c r="I236" s="30"/>
    </row>
    <row r="237">
      <c r="F237" s="58"/>
      <c r="I237" s="30"/>
    </row>
    <row r="238">
      <c r="F238" s="58"/>
      <c r="I238" s="30"/>
    </row>
    <row r="239">
      <c r="F239" s="58"/>
      <c r="I239" s="30"/>
    </row>
    <row r="240">
      <c r="F240" s="58"/>
      <c r="I240" s="30"/>
    </row>
    <row r="241">
      <c r="F241" s="58"/>
      <c r="I241" s="30"/>
    </row>
    <row r="242">
      <c r="F242" s="58"/>
      <c r="I242" s="30"/>
    </row>
    <row r="243">
      <c r="F243" s="58"/>
      <c r="I243" s="30"/>
    </row>
    <row r="244">
      <c r="F244" s="58"/>
      <c r="I244" s="30"/>
    </row>
    <row r="245">
      <c r="F245" s="58"/>
      <c r="I245" s="30"/>
    </row>
    <row r="246">
      <c r="F246" s="58"/>
      <c r="I246" s="30"/>
    </row>
    <row r="247">
      <c r="F247" s="58"/>
      <c r="I247" s="30"/>
    </row>
    <row r="248">
      <c r="F248" s="58"/>
      <c r="I248" s="30"/>
    </row>
    <row r="249">
      <c r="F249" s="58"/>
      <c r="I249" s="30"/>
    </row>
    <row r="250">
      <c r="F250" s="58"/>
      <c r="I250" s="30"/>
    </row>
    <row r="251">
      <c r="F251" s="58"/>
      <c r="I251" s="30"/>
    </row>
    <row r="252">
      <c r="F252" s="58"/>
      <c r="I252" s="30"/>
    </row>
    <row r="253">
      <c r="F253" s="58"/>
      <c r="I253" s="30"/>
    </row>
    <row r="254">
      <c r="F254" s="58"/>
      <c r="I254" s="30"/>
    </row>
    <row r="255">
      <c r="F255" s="58"/>
      <c r="I255" s="30"/>
    </row>
    <row r="256">
      <c r="F256" s="58"/>
      <c r="I256" s="30"/>
    </row>
    <row r="257">
      <c r="F257" s="58"/>
      <c r="I257" s="30"/>
    </row>
    <row r="258">
      <c r="F258" s="58"/>
      <c r="I258" s="30"/>
    </row>
    <row r="259">
      <c r="F259" s="58"/>
      <c r="I259" s="30"/>
    </row>
    <row r="260">
      <c r="F260" s="58"/>
      <c r="I260" s="30"/>
    </row>
    <row r="261">
      <c r="F261" s="58"/>
      <c r="I261" s="30"/>
    </row>
    <row r="262">
      <c r="F262" s="58"/>
      <c r="I262" s="30"/>
    </row>
    <row r="263">
      <c r="F263" s="58"/>
      <c r="I263" s="30"/>
    </row>
    <row r="264">
      <c r="F264" s="58"/>
      <c r="I264" s="30"/>
    </row>
    <row r="265">
      <c r="F265" s="58"/>
      <c r="I265" s="30"/>
    </row>
    <row r="266">
      <c r="F266" s="58"/>
      <c r="I266" s="30"/>
    </row>
    <row r="267">
      <c r="F267" s="58"/>
      <c r="I267" s="30"/>
    </row>
    <row r="268">
      <c r="F268" s="58"/>
      <c r="I268" s="30"/>
    </row>
    <row r="269">
      <c r="F269" s="58"/>
      <c r="I269" s="30"/>
    </row>
    <row r="270">
      <c r="F270" s="58"/>
      <c r="I270" s="30"/>
    </row>
    <row r="271">
      <c r="F271" s="58"/>
      <c r="I271" s="30"/>
    </row>
    <row r="272">
      <c r="F272" s="58"/>
      <c r="I272" s="30"/>
    </row>
    <row r="273">
      <c r="F273" s="58"/>
      <c r="I273" s="30"/>
    </row>
    <row r="274">
      <c r="F274" s="58"/>
      <c r="I274" s="30"/>
    </row>
    <row r="275">
      <c r="F275" s="58"/>
      <c r="I275" s="30"/>
    </row>
    <row r="276">
      <c r="F276" s="58"/>
      <c r="I276" s="30"/>
    </row>
    <row r="277">
      <c r="F277" s="58"/>
      <c r="I277" s="30"/>
    </row>
    <row r="278">
      <c r="F278" s="58"/>
      <c r="I278" s="30"/>
    </row>
    <row r="279">
      <c r="F279" s="58"/>
      <c r="I279" s="30"/>
    </row>
    <row r="280">
      <c r="F280" s="58"/>
      <c r="I280" s="30"/>
    </row>
    <row r="281">
      <c r="F281" s="58"/>
      <c r="I281" s="30"/>
    </row>
    <row r="282">
      <c r="F282" s="58"/>
      <c r="I282" s="30"/>
    </row>
    <row r="283">
      <c r="F283" s="58"/>
      <c r="I283" s="30"/>
    </row>
    <row r="284">
      <c r="F284" s="58"/>
      <c r="I284" s="30"/>
    </row>
    <row r="285">
      <c r="F285" s="58"/>
      <c r="I285" s="30"/>
    </row>
    <row r="286">
      <c r="F286" s="58"/>
      <c r="I286" s="30"/>
    </row>
    <row r="287">
      <c r="F287" s="58"/>
      <c r="I287" s="30"/>
    </row>
    <row r="288">
      <c r="F288" s="58"/>
      <c r="I288" s="30"/>
    </row>
    <row r="289">
      <c r="F289" s="58"/>
      <c r="I289" s="30"/>
    </row>
    <row r="290">
      <c r="F290" s="58"/>
      <c r="I290" s="30"/>
    </row>
    <row r="291">
      <c r="F291" s="58"/>
      <c r="I291" s="30"/>
    </row>
    <row r="292">
      <c r="F292" s="58"/>
      <c r="I292" s="30"/>
    </row>
    <row r="293">
      <c r="F293" s="58"/>
      <c r="I293" s="30"/>
    </row>
    <row r="294">
      <c r="F294" s="58"/>
      <c r="I294" s="30"/>
    </row>
    <row r="295">
      <c r="F295" s="58"/>
      <c r="I295" s="30"/>
    </row>
    <row r="296">
      <c r="F296" s="58"/>
      <c r="I296" s="30"/>
    </row>
    <row r="297">
      <c r="F297" s="58"/>
      <c r="I297" s="30"/>
    </row>
    <row r="298">
      <c r="F298" s="58"/>
      <c r="I298" s="30"/>
    </row>
    <row r="299">
      <c r="F299" s="58"/>
      <c r="I299" s="30"/>
    </row>
    <row r="300">
      <c r="F300" s="58"/>
      <c r="I300" s="30"/>
    </row>
    <row r="301">
      <c r="F301" s="58"/>
      <c r="I301" s="30"/>
    </row>
    <row r="302">
      <c r="F302" s="58"/>
      <c r="I302" s="30"/>
    </row>
    <row r="303">
      <c r="F303" s="58"/>
      <c r="I303" s="30"/>
    </row>
    <row r="304">
      <c r="F304" s="58"/>
      <c r="I304" s="30"/>
    </row>
    <row r="305">
      <c r="F305" s="58"/>
      <c r="I305" s="30"/>
    </row>
    <row r="306">
      <c r="F306" s="58"/>
      <c r="I306" s="30"/>
    </row>
    <row r="307">
      <c r="F307" s="58"/>
      <c r="I307" s="30"/>
    </row>
    <row r="308">
      <c r="F308" s="58"/>
      <c r="I308" s="30"/>
    </row>
    <row r="309">
      <c r="F309" s="58"/>
      <c r="I309" s="30"/>
    </row>
    <row r="310">
      <c r="F310" s="58"/>
      <c r="I310" s="30"/>
    </row>
    <row r="311">
      <c r="F311" s="58"/>
      <c r="I311" s="30"/>
    </row>
    <row r="312">
      <c r="F312" s="58"/>
      <c r="I312" s="30"/>
    </row>
    <row r="313">
      <c r="F313" s="58"/>
      <c r="I313" s="30"/>
    </row>
    <row r="314">
      <c r="F314" s="58"/>
      <c r="I314" s="30"/>
    </row>
    <row r="315">
      <c r="F315" s="58"/>
      <c r="I315" s="30"/>
    </row>
    <row r="316">
      <c r="F316" s="58"/>
      <c r="I316" s="30"/>
    </row>
    <row r="317">
      <c r="F317" s="58"/>
      <c r="I317" s="30"/>
    </row>
    <row r="318">
      <c r="F318" s="58"/>
      <c r="I318" s="30"/>
    </row>
    <row r="319">
      <c r="F319" s="58"/>
      <c r="I319" s="30"/>
    </row>
    <row r="320">
      <c r="F320" s="58"/>
      <c r="I320" s="30"/>
    </row>
    <row r="321">
      <c r="F321" s="58"/>
      <c r="I321" s="30"/>
    </row>
    <row r="322">
      <c r="F322" s="58"/>
      <c r="I322" s="30"/>
    </row>
    <row r="323">
      <c r="F323" s="58"/>
      <c r="I323" s="30"/>
    </row>
    <row r="324">
      <c r="F324" s="58"/>
      <c r="I324" s="30"/>
    </row>
    <row r="325">
      <c r="F325" s="58"/>
      <c r="I325" s="30"/>
    </row>
    <row r="326">
      <c r="F326" s="58"/>
      <c r="I326" s="30"/>
    </row>
    <row r="327">
      <c r="F327" s="58"/>
      <c r="I327" s="30"/>
    </row>
    <row r="328">
      <c r="F328" s="58"/>
      <c r="I328" s="30"/>
    </row>
    <row r="329">
      <c r="F329" s="58"/>
      <c r="I329" s="30"/>
    </row>
    <row r="330">
      <c r="F330" s="58"/>
      <c r="I330" s="30"/>
    </row>
    <row r="331">
      <c r="F331" s="58"/>
      <c r="I331" s="30"/>
    </row>
    <row r="332">
      <c r="F332" s="58"/>
      <c r="I332" s="30"/>
    </row>
    <row r="333">
      <c r="F333" s="58"/>
      <c r="I333" s="30"/>
    </row>
    <row r="334">
      <c r="F334" s="58"/>
      <c r="I334" s="30"/>
    </row>
    <row r="335">
      <c r="F335" s="58"/>
      <c r="I335" s="30"/>
    </row>
    <row r="336">
      <c r="F336" s="58"/>
      <c r="I336" s="30"/>
    </row>
    <row r="337">
      <c r="F337" s="58"/>
      <c r="I337" s="30"/>
    </row>
    <row r="338">
      <c r="F338" s="58"/>
      <c r="I338" s="30"/>
    </row>
    <row r="339">
      <c r="F339" s="58"/>
      <c r="I339" s="30"/>
    </row>
    <row r="340">
      <c r="F340" s="58"/>
      <c r="I340" s="30"/>
    </row>
    <row r="341">
      <c r="F341" s="58"/>
      <c r="I341" s="30"/>
    </row>
    <row r="342">
      <c r="F342" s="58"/>
      <c r="I342" s="30"/>
    </row>
    <row r="343">
      <c r="F343" s="58"/>
      <c r="I343" s="30"/>
    </row>
    <row r="344">
      <c r="F344" s="58"/>
      <c r="I344" s="30"/>
    </row>
    <row r="345">
      <c r="F345" s="58"/>
      <c r="I345" s="30"/>
    </row>
    <row r="346">
      <c r="F346" s="58"/>
      <c r="I346" s="30"/>
    </row>
    <row r="347">
      <c r="F347" s="58"/>
      <c r="I347" s="30"/>
    </row>
    <row r="348">
      <c r="F348" s="58"/>
      <c r="I348" s="30"/>
    </row>
    <row r="349">
      <c r="F349" s="58"/>
      <c r="I349" s="30"/>
    </row>
    <row r="350">
      <c r="F350" s="58"/>
      <c r="I350" s="30"/>
    </row>
    <row r="351">
      <c r="F351" s="58"/>
      <c r="I351" s="30"/>
    </row>
    <row r="352">
      <c r="F352" s="58"/>
      <c r="I352" s="30"/>
    </row>
    <row r="353">
      <c r="F353" s="58"/>
      <c r="I353" s="30"/>
    </row>
    <row r="354">
      <c r="F354" s="58"/>
      <c r="I354" s="30"/>
    </row>
    <row r="355">
      <c r="F355" s="58"/>
      <c r="I355" s="30"/>
    </row>
    <row r="356">
      <c r="F356" s="58"/>
      <c r="I356" s="30"/>
    </row>
    <row r="357">
      <c r="F357" s="58"/>
      <c r="I357" s="30"/>
    </row>
    <row r="358">
      <c r="F358" s="58"/>
      <c r="I358" s="30"/>
    </row>
    <row r="359">
      <c r="F359" s="58"/>
      <c r="I359" s="30"/>
    </row>
    <row r="360">
      <c r="F360" s="58"/>
      <c r="I360" s="30"/>
    </row>
    <row r="361">
      <c r="F361" s="58"/>
      <c r="I361" s="30"/>
    </row>
    <row r="362">
      <c r="F362" s="58"/>
      <c r="I362" s="30"/>
    </row>
    <row r="363">
      <c r="F363" s="58"/>
      <c r="I363" s="30"/>
    </row>
    <row r="364">
      <c r="F364" s="58"/>
      <c r="I364" s="30"/>
    </row>
    <row r="365">
      <c r="F365" s="58"/>
      <c r="I365" s="30"/>
    </row>
    <row r="366">
      <c r="F366" s="58"/>
      <c r="I366" s="30"/>
    </row>
    <row r="367">
      <c r="F367" s="58"/>
      <c r="I367" s="30"/>
    </row>
    <row r="368">
      <c r="F368" s="58"/>
      <c r="I368" s="30"/>
    </row>
    <row r="369">
      <c r="F369" s="58"/>
      <c r="I369" s="30"/>
    </row>
    <row r="370">
      <c r="F370" s="58"/>
      <c r="I370" s="30"/>
    </row>
    <row r="371">
      <c r="F371" s="58"/>
      <c r="I371" s="30"/>
    </row>
    <row r="372">
      <c r="F372" s="58"/>
      <c r="I372" s="30"/>
    </row>
    <row r="373">
      <c r="F373" s="58"/>
      <c r="I373" s="30"/>
    </row>
    <row r="374">
      <c r="F374" s="58"/>
      <c r="I374" s="30"/>
    </row>
    <row r="375">
      <c r="F375" s="58"/>
      <c r="I375" s="30"/>
    </row>
    <row r="376">
      <c r="F376" s="58"/>
      <c r="I376" s="30"/>
    </row>
    <row r="377">
      <c r="F377" s="58"/>
      <c r="I377" s="30"/>
    </row>
    <row r="378">
      <c r="F378" s="58"/>
      <c r="I378" s="30"/>
    </row>
    <row r="379">
      <c r="F379" s="58"/>
      <c r="I379" s="30"/>
    </row>
    <row r="380">
      <c r="F380" s="58"/>
      <c r="I380" s="30"/>
    </row>
    <row r="381">
      <c r="F381" s="58"/>
      <c r="I381" s="30"/>
    </row>
    <row r="382">
      <c r="F382" s="58"/>
      <c r="I382" s="30"/>
    </row>
    <row r="383">
      <c r="F383" s="58"/>
      <c r="I383" s="30"/>
    </row>
    <row r="384">
      <c r="F384" s="58"/>
      <c r="I384" s="30"/>
    </row>
    <row r="385">
      <c r="F385" s="58"/>
      <c r="I385" s="30"/>
    </row>
    <row r="386">
      <c r="F386" s="58"/>
      <c r="I386" s="30"/>
    </row>
    <row r="387">
      <c r="F387" s="58"/>
      <c r="I387" s="30"/>
    </row>
    <row r="388">
      <c r="F388" s="58"/>
      <c r="I388" s="30"/>
    </row>
    <row r="389">
      <c r="F389" s="58"/>
      <c r="I389" s="30"/>
    </row>
    <row r="390">
      <c r="F390" s="58"/>
      <c r="I390" s="30"/>
    </row>
    <row r="391">
      <c r="F391" s="58"/>
      <c r="I391" s="30"/>
    </row>
    <row r="392">
      <c r="F392" s="58"/>
      <c r="I392" s="30"/>
    </row>
    <row r="393">
      <c r="F393" s="58"/>
      <c r="I393" s="30"/>
    </row>
    <row r="394">
      <c r="F394" s="58"/>
      <c r="I394" s="30"/>
    </row>
    <row r="395">
      <c r="F395" s="58"/>
      <c r="I395" s="30"/>
    </row>
    <row r="396">
      <c r="F396" s="58"/>
      <c r="I396" s="30"/>
    </row>
    <row r="397">
      <c r="F397" s="58"/>
      <c r="I397" s="30"/>
    </row>
    <row r="398">
      <c r="F398" s="58"/>
      <c r="I398" s="30"/>
    </row>
    <row r="399">
      <c r="F399" s="58"/>
      <c r="I399" s="30"/>
    </row>
    <row r="400">
      <c r="F400" s="58"/>
      <c r="I400" s="30"/>
    </row>
    <row r="401">
      <c r="F401" s="58"/>
      <c r="I401" s="30"/>
    </row>
    <row r="402">
      <c r="F402" s="58"/>
      <c r="I402" s="30"/>
    </row>
    <row r="403">
      <c r="F403" s="58"/>
      <c r="I403" s="30"/>
    </row>
    <row r="404">
      <c r="F404" s="58"/>
      <c r="I404" s="30"/>
    </row>
    <row r="405">
      <c r="F405" s="58"/>
      <c r="I405" s="30"/>
    </row>
    <row r="406">
      <c r="F406" s="58"/>
      <c r="I406" s="30"/>
    </row>
    <row r="407">
      <c r="F407" s="58"/>
      <c r="I407" s="30"/>
    </row>
    <row r="408">
      <c r="F408" s="58"/>
      <c r="I408" s="30"/>
    </row>
    <row r="409">
      <c r="F409" s="58"/>
      <c r="I409" s="30"/>
    </row>
    <row r="410">
      <c r="F410" s="58"/>
      <c r="I410" s="30"/>
    </row>
    <row r="411">
      <c r="F411" s="58"/>
      <c r="I411" s="30"/>
    </row>
    <row r="412">
      <c r="F412" s="58"/>
      <c r="I412" s="30"/>
    </row>
    <row r="413">
      <c r="F413" s="58"/>
      <c r="I413" s="30"/>
    </row>
    <row r="414">
      <c r="F414" s="58"/>
      <c r="I414" s="30"/>
    </row>
    <row r="415">
      <c r="F415" s="58"/>
      <c r="I415" s="30"/>
    </row>
    <row r="416">
      <c r="F416" s="58"/>
      <c r="I416" s="30"/>
    </row>
    <row r="417">
      <c r="F417" s="58"/>
      <c r="I417" s="30"/>
    </row>
    <row r="418">
      <c r="F418" s="58"/>
      <c r="I418" s="30"/>
    </row>
    <row r="419">
      <c r="F419" s="58"/>
      <c r="I419" s="30"/>
    </row>
    <row r="420">
      <c r="F420" s="58"/>
      <c r="I420" s="30"/>
    </row>
    <row r="421">
      <c r="F421" s="58"/>
      <c r="I421" s="30"/>
    </row>
    <row r="422">
      <c r="F422" s="58"/>
      <c r="I422" s="30"/>
    </row>
    <row r="423">
      <c r="F423" s="58"/>
      <c r="I423" s="30"/>
    </row>
    <row r="424">
      <c r="F424" s="58"/>
      <c r="I424" s="30"/>
    </row>
    <row r="425">
      <c r="F425" s="58"/>
      <c r="I425" s="30"/>
    </row>
    <row r="426">
      <c r="F426" s="58"/>
      <c r="I426" s="30"/>
    </row>
    <row r="427">
      <c r="F427" s="58"/>
      <c r="I427" s="30"/>
    </row>
    <row r="428">
      <c r="F428" s="58"/>
      <c r="I428" s="30"/>
    </row>
    <row r="429">
      <c r="F429" s="58"/>
      <c r="I429" s="30"/>
    </row>
    <row r="430">
      <c r="F430" s="58"/>
      <c r="I430" s="30"/>
    </row>
    <row r="431">
      <c r="F431" s="58"/>
      <c r="I431" s="30"/>
    </row>
    <row r="432">
      <c r="F432" s="58"/>
      <c r="I432" s="30"/>
    </row>
    <row r="433">
      <c r="F433" s="58"/>
      <c r="I433" s="30"/>
    </row>
    <row r="434">
      <c r="F434" s="58"/>
      <c r="I434" s="30"/>
    </row>
    <row r="435">
      <c r="F435" s="58"/>
      <c r="I435" s="30"/>
    </row>
    <row r="436">
      <c r="F436" s="58"/>
      <c r="I436" s="30"/>
    </row>
    <row r="437">
      <c r="F437" s="58"/>
      <c r="I437" s="30"/>
    </row>
    <row r="438">
      <c r="F438" s="58"/>
      <c r="I438" s="30"/>
    </row>
    <row r="439">
      <c r="F439" s="58"/>
      <c r="I439" s="30"/>
    </row>
    <row r="440">
      <c r="F440" s="58"/>
      <c r="I440" s="30"/>
    </row>
    <row r="441">
      <c r="F441" s="58"/>
      <c r="I441" s="30"/>
    </row>
    <row r="442">
      <c r="F442" s="58"/>
      <c r="I442" s="30"/>
    </row>
    <row r="443">
      <c r="F443" s="58"/>
      <c r="I443" s="30"/>
    </row>
    <row r="444">
      <c r="F444" s="58"/>
      <c r="I444" s="30"/>
    </row>
    <row r="445">
      <c r="F445" s="58"/>
      <c r="I445" s="30"/>
    </row>
    <row r="446">
      <c r="F446" s="58"/>
      <c r="I446" s="30"/>
    </row>
    <row r="447">
      <c r="F447" s="58"/>
      <c r="I447" s="30"/>
    </row>
    <row r="448">
      <c r="F448" s="58"/>
      <c r="I448" s="30"/>
    </row>
    <row r="449">
      <c r="F449" s="58"/>
      <c r="I449" s="30"/>
    </row>
    <row r="450">
      <c r="F450" s="58"/>
      <c r="I450" s="30"/>
    </row>
    <row r="451">
      <c r="F451" s="58"/>
      <c r="I451" s="30"/>
    </row>
    <row r="452">
      <c r="F452" s="58"/>
      <c r="I452" s="30"/>
    </row>
    <row r="453">
      <c r="F453" s="58"/>
      <c r="I453" s="30"/>
    </row>
    <row r="454">
      <c r="F454" s="58"/>
      <c r="I454" s="30"/>
    </row>
    <row r="455">
      <c r="F455" s="58"/>
      <c r="I455" s="30"/>
    </row>
    <row r="456">
      <c r="F456" s="58"/>
      <c r="I456" s="30"/>
    </row>
    <row r="457">
      <c r="F457" s="58"/>
      <c r="I457" s="30"/>
    </row>
    <row r="458">
      <c r="F458" s="58"/>
      <c r="I458" s="30"/>
    </row>
    <row r="459">
      <c r="F459" s="58"/>
      <c r="I459" s="30"/>
    </row>
    <row r="460">
      <c r="F460" s="58"/>
      <c r="I460" s="30"/>
    </row>
    <row r="461">
      <c r="F461" s="58"/>
      <c r="I461" s="30"/>
    </row>
    <row r="462">
      <c r="F462" s="58"/>
      <c r="I462" s="30"/>
    </row>
    <row r="463">
      <c r="F463" s="58"/>
      <c r="I463" s="30"/>
    </row>
    <row r="464">
      <c r="F464" s="58"/>
      <c r="I464" s="30"/>
    </row>
    <row r="465">
      <c r="F465" s="58"/>
      <c r="I465" s="30"/>
    </row>
    <row r="466">
      <c r="F466" s="58"/>
      <c r="I466" s="30"/>
    </row>
    <row r="467">
      <c r="F467" s="58"/>
      <c r="I467" s="30"/>
    </row>
    <row r="468">
      <c r="F468" s="58"/>
      <c r="I468" s="30"/>
    </row>
    <row r="469">
      <c r="F469" s="58"/>
      <c r="I469" s="30"/>
    </row>
    <row r="470">
      <c r="F470" s="58"/>
      <c r="I470" s="30"/>
    </row>
    <row r="471">
      <c r="F471" s="58"/>
      <c r="I471" s="30"/>
    </row>
    <row r="472">
      <c r="F472" s="58"/>
      <c r="I472" s="30"/>
    </row>
    <row r="473">
      <c r="F473" s="58"/>
      <c r="I473" s="30"/>
    </row>
    <row r="474">
      <c r="F474" s="58"/>
      <c r="I474" s="30"/>
    </row>
    <row r="475">
      <c r="F475" s="58"/>
      <c r="I475" s="30"/>
    </row>
    <row r="476">
      <c r="F476" s="58"/>
      <c r="I476" s="30"/>
    </row>
    <row r="477">
      <c r="F477" s="58"/>
      <c r="I477" s="30"/>
    </row>
    <row r="478">
      <c r="F478" s="58"/>
      <c r="I478" s="30"/>
    </row>
    <row r="479">
      <c r="F479" s="58"/>
      <c r="I479" s="30"/>
    </row>
    <row r="480">
      <c r="F480" s="58"/>
      <c r="I480" s="30"/>
    </row>
    <row r="481">
      <c r="F481" s="58"/>
      <c r="I481" s="30"/>
    </row>
    <row r="482">
      <c r="F482" s="58"/>
      <c r="I482" s="30"/>
    </row>
    <row r="483">
      <c r="F483" s="58"/>
      <c r="I483" s="30"/>
    </row>
    <row r="484">
      <c r="F484" s="58"/>
      <c r="I484" s="30"/>
    </row>
    <row r="485">
      <c r="F485" s="58"/>
      <c r="I485" s="30"/>
    </row>
    <row r="486">
      <c r="F486" s="58"/>
      <c r="I486" s="30"/>
    </row>
    <row r="487">
      <c r="F487" s="58"/>
      <c r="I487" s="30"/>
    </row>
    <row r="488">
      <c r="F488" s="58"/>
      <c r="I488" s="30"/>
    </row>
    <row r="489">
      <c r="F489" s="58"/>
      <c r="I489" s="30"/>
    </row>
    <row r="490">
      <c r="F490" s="58"/>
      <c r="I490" s="30"/>
    </row>
    <row r="491">
      <c r="F491" s="58"/>
      <c r="I491" s="30"/>
    </row>
    <row r="492">
      <c r="F492" s="58"/>
      <c r="I492" s="30"/>
    </row>
    <row r="493">
      <c r="F493" s="58"/>
      <c r="I493" s="30"/>
    </row>
    <row r="494">
      <c r="F494" s="58"/>
      <c r="I494" s="30"/>
    </row>
    <row r="495">
      <c r="F495" s="58"/>
      <c r="I495" s="30"/>
    </row>
    <row r="496">
      <c r="F496" s="58"/>
      <c r="I496" s="30"/>
    </row>
    <row r="497">
      <c r="F497" s="58"/>
      <c r="I497" s="30"/>
    </row>
    <row r="498">
      <c r="F498" s="58"/>
      <c r="I498" s="30"/>
    </row>
    <row r="499">
      <c r="F499" s="58"/>
      <c r="I499" s="30"/>
    </row>
    <row r="500">
      <c r="F500" s="58"/>
      <c r="I500" s="30"/>
    </row>
    <row r="501">
      <c r="F501" s="58"/>
      <c r="I501" s="30"/>
    </row>
    <row r="502">
      <c r="F502" s="58"/>
      <c r="I502" s="30"/>
    </row>
    <row r="503">
      <c r="F503" s="58"/>
      <c r="I503" s="30"/>
    </row>
    <row r="504">
      <c r="F504" s="58"/>
      <c r="I504" s="30"/>
    </row>
    <row r="505">
      <c r="F505" s="58"/>
      <c r="I505" s="30"/>
    </row>
    <row r="506">
      <c r="F506" s="58"/>
      <c r="I506" s="30"/>
    </row>
    <row r="507">
      <c r="F507" s="58"/>
      <c r="I507" s="30"/>
    </row>
    <row r="508">
      <c r="F508" s="58"/>
      <c r="I508" s="30"/>
    </row>
    <row r="509">
      <c r="F509" s="58"/>
      <c r="I509" s="30"/>
    </row>
    <row r="510">
      <c r="F510" s="58"/>
      <c r="I510" s="30"/>
    </row>
    <row r="511">
      <c r="F511" s="58"/>
      <c r="I511" s="30"/>
    </row>
    <row r="512">
      <c r="F512" s="58"/>
      <c r="I512" s="30"/>
    </row>
    <row r="513">
      <c r="F513" s="58"/>
      <c r="I513" s="30"/>
    </row>
    <row r="514">
      <c r="F514" s="58"/>
      <c r="I514" s="30"/>
    </row>
    <row r="515">
      <c r="F515" s="58"/>
      <c r="I515" s="30"/>
    </row>
    <row r="516">
      <c r="F516" s="58"/>
      <c r="I516" s="30"/>
    </row>
    <row r="517">
      <c r="F517" s="58"/>
      <c r="I517" s="30"/>
    </row>
    <row r="518">
      <c r="F518" s="58"/>
      <c r="I518" s="30"/>
    </row>
    <row r="519">
      <c r="F519" s="58"/>
      <c r="I519" s="30"/>
    </row>
    <row r="520">
      <c r="F520" s="58"/>
      <c r="I520" s="30"/>
    </row>
    <row r="521">
      <c r="F521" s="58"/>
      <c r="I521" s="30"/>
    </row>
    <row r="522">
      <c r="F522" s="58"/>
      <c r="I522" s="30"/>
    </row>
    <row r="523">
      <c r="F523" s="58"/>
      <c r="I523" s="30"/>
    </row>
    <row r="524">
      <c r="F524" s="58"/>
      <c r="I524" s="30"/>
    </row>
    <row r="525">
      <c r="F525" s="58"/>
      <c r="I525" s="30"/>
    </row>
    <row r="526">
      <c r="F526" s="58"/>
      <c r="I526" s="30"/>
    </row>
    <row r="527">
      <c r="F527" s="58"/>
      <c r="I527" s="30"/>
    </row>
    <row r="528">
      <c r="F528" s="58"/>
      <c r="I528" s="30"/>
    </row>
    <row r="529">
      <c r="F529" s="58"/>
      <c r="I529" s="30"/>
    </row>
    <row r="530">
      <c r="F530" s="58"/>
      <c r="I530" s="30"/>
    </row>
    <row r="531">
      <c r="F531" s="58"/>
      <c r="I531" s="30"/>
    </row>
    <row r="532">
      <c r="F532" s="58"/>
      <c r="I532" s="30"/>
    </row>
    <row r="533">
      <c r="F533" s="58"/>
      <c r="I533" s="30"/>
    </row>
    <row r="534">
      <c r="F534" s="58"/>
      <c r="I534" s="30"/>
    </row>
    <row r="535">
      <c r="F535" s="58"/>
      <c r="I535" s="30"/>
    </row>
    <row r="536">
      <c r="F536" s="58"/>
      <c r="I536" s="30"/>
    </row>
    <row r="537">
      <c r="F537" s="58"/>
      <c r="I537" s="30"/>
    </row>
    <row r="538">
      <c r="F538" s="58"/>
      <c r="I538" s="30"/>
    </row>
    <row r="539">
      <c r="F539" s="58"/>
      <c r="I539" s="30"/>
    </row>
    <row r="540">
      <c r="F540" s="58"/>
      <c r="I540" s="30"/>
    </row>
    <row r="541">
      <c r="F541" s="58"/>
      <c r="I541" s="30"/>
    </row>
    <row r="542">
      <c r="F542" s="58"/>
      <c r="I542" s="30"/>
    </row>
    <row r="543">
      <c r="F543" s="58"/>
      <c r="I543" s="30"/>
    </row>
    <row r="544">
      <c r="F544" s="58"/>
      <c r="I544" s="30"/>
    </row>
    <row r="545">
      <c r="F545" s="58"/>
      <c r="I545" s="30"/>
    </row>
    <row r="546">
      <c r="F546" s="58"/>
      <c r="I546" s="30"/>
    </row>
    <row r="547">
      <c r="F547" s="58"/>
      <c r="I547" s="30"/>
    </row>
    <row r="548">
      <c r="F548" s="58"/>
      <c r="I548" s="30"/>
    </row>
    <row r="549">
      <c r="F549" s="58"/>
      <c r="I549" s="30"/>
    </row>
    <row r="550">
      <c r="F550" s="58"/>
      <c r="I550" s="30"/>
    </row>
    <row r="551">
      <c r="F551" s="58"/>
      <c r="I551" s="30"/>
    </row>
    <row r="552">
      <c r="F552" s="58"/>
      <c r="I552" s="30"/>
    </row>
    <row r="553">
      <c r="F553" s="58"/>
      <c r="I553" s="30"/>
    </row>
    <row r="554">
      <c r="F554" s="58"/>
      <c r="I554" s="30"/>
    </row>
    <row r="555">
      <c r="F555" s="58"/>
      <c r="I555" s="30"/>
    </row>
    <row r="556">
      <c r="F556" s="58"/>
      <c r="I556" s="30"/>
    </row>
    <row r="557">
      <c r="F557" s="58"/>
      <c r="I557" s="30"/>
    </row>
    <row r="558">
      <c r="F558" s="58"/>
      <c r="I558" s="30"/>
    </row>
    <row r="559">
      <c r="F559" s="58"/>
      <c r="I559" s="30"/>
    </row>
    <row r="560">
      <c r="F560" s="58"/>
      <c r="I560" s="30"/>
    </row>
    <row r="561">
      <c r="F561" s="58"/>
      <c r="I561" s="30"/>
    </row>
    <row r="562">
      <c r="F562" s="58"/>
      <c r="I562" s="30"/>
    </row>
    <row r="563">
      <c r="F563" s="58"/>
      <c r="I563" s="30"/>
    </row>
    <row r="564">
      <c r="F564" s="58"/>
      <c r="I564" s="30"/>
    </row>
    <row r="565">
      <c r="F565" s="58"/>
      <c r="I565" s="30"/>
    </row>
    <row r="566">
      <c r="F566" s="58"/>
      <c r="I566" s="30"/>
    </row>
    <row r="567">
      <c r="F567" s="58"/>
      <c r="I567" s="30"/>
    </row>
    <row r="568">
      <c r="F568" s="58"/>
      <c r="I568" s="30"/>
    </row>
    <row r="569">
      <c r="F569" s="58"/>
      <c r="I569" s="30"/>
    </row>
    <row r="570">
      <c r="F570" s="58"/>
      <c r="I570" s="30"/>
    </row>
    <row r="571">
      <c r="F571" s="58"/>
      <c r="I571" s="30"/>
    </row>
    <row r="572">
      <c r="F572" s="58"/>
      <c r="I572" s="30"/>
    </row>
    <row r="573">
      <c r="F573" s="58"/>
      <c r="I573" s="30"/>
    </row>
    <row r="574">
      <c r="F574" s="58"/>
      <c r="I574" s="30"/>
    </row>
    <row r="575">
      <c r="F575" s="58"/>
      <c r="I575" s="30"/>
    </row>
    <row r="576">
      <c r="F576" s="58"/>
      <c r="I576" s="30"/>
    </row>
    <row r="577">
      <c r="F577" s="58"/>
      <c r="I577" s="30"/>
    </row>
    <row r="578">
      <c r="F578" s="58"/>
      <c r="I578" s="30"/>
    </row>
    <row r="579">
      <c r="F579" s="58"/>
      <c r="I579" s="30"/>
    </row>
    <row r="580">
      <c r="F580" s="58"/>
      <c r="I580" s="30"/>
    </row>
    <row r="581">
      <c r="F581" s="58"/>
      <c r="I581" s="30"/>
    </row>
    <row r="582">
      <c r="F582" s="58"/>
      <c r="I582" s="30"/>
    </row>
    <row r="583">
      <c r="F583" s="58"/>
      <c r="I583" s="30"/>
    </row>
    <row r="584">
      <c r="F584" s="58"/>
      <c r="I584" s="30"/>
    </row>
    <row r="585">
      <c r="F585" s="58"/>
      <c r="I585" s="30"/>
    </row>
    <row r="586">
      <c r="F586" s="58"/>
      <c r="I586" s="30"/>
    </row>
    <row r="587">
      <c r="F587" s="58"/>
      <c r="I587" s="30"/>
    </row>
    <row r="588">
      <c r="F588" s="58"/>
      <c r="I588" s="30"/>
    </row>
    <row r="589">
      <c r="F589" s="58"/>
      <c r="I589" s="30"/>
    </row>
    <row r="590">
      <c r="F590" s="58"/>
      <c r="I590" s="30"/>
    </row>
    <row r="591">
      <c r="F591" s="58"/>
      <c r="I591" s="30"/>
    </row>
    <row r="592">
      <c r="F592" s="58"/>
      <c r="I592" s="30"/>
    </row>
    <row r="593">
      <c r="F593" s="58"/>
      <c r="I593" s="30"/>
    </row>
    <row r="594">
      <c r="F594" s="58"/>
      <c r="I594" s="30"/>
    </row>
    <row r="595">
      <c r="F595" s="58"/>
      <c r="I595" s="30"/>
    </row>
    <row r="596">
      <c r="F596" s="58"/>
      <c r="I596" s="30"/>
    </row>
    <row r="597">
      <c r="F597" s="58"/>
      <c r="I597" s="30"/>
    </row>
    <row r="598">
      <c r="F598" s="58"/>
      <c r="I598" s="30"/>
    </row>
    <row r="599">
      <c r="F599" s="58"/>
      <c r="I599" s="30"/>
    </row>
    <row r="600">
      <c r="F600" s="58"/>
      <c r="I600" s="30"/>
    </row>
    <row r="601">
      <c r="F601" s="58"/>
      <c r="I601" s="30"/>
    </row>
    <row r="602">
      <c r="F602" s="58"/>
      <c r="I602" s="30"/>
    </row>
    <row r="603">
      <c r="F603" s="58"/>
      <c r="I603" s="30"/>
    </row>
    <row r="604">
      <c r="F604" s="58"/>
      <c r="I604" s="30"/>
    </row>
    <row r="605">
      <c r="F605" s="58"/>
      <c r="I605" s="30"/>
    </row>
    <row r="606">
      <c r="F606" s="58"/>
      <c r="I606" s="30"/>
    </row>
    <row r="607">
      <c r="F607" s="58"/>
      <c r="I607" s="30"/>
    </row>
    <row r="608">
      <c r="F608" s="58"/>
      <c r="I608" s="30"/>
    </row>
    <row r="609">
      <c r="F609" s="58"/>
      <c r="I609" s="30"/>
    </row>
    <row r="610">
      <c r="F610" s="58"/>
      <c r="I610" s="30"/>
    </row>
    <row r="611">
      <c r="F611" s="58"/>
      <c r="I611" s="30"/>
    </row>
    <row r="612">
      <c r="F612" s="58"/>
      <c r="I612" s="30"/>
    </row>
    <row r="613">
      <c r="F613" s="58"/>
      <c r="I613" s="30"/>
    </row>
    <row r="614">
      <c r="F614" s="58"/>
      <c r="I614" s="30"/>
    </row>
    <row r="615">
      <c r="F615" s="58"/>
      <c r="I615" s="30"/>
    </row>
    <row r="616">
      <c r="F616" s="58"/>
      <c r="I616" s="30"/>
    </row>
    <row r="617">
      <c r="F617" s="58"/>
      <c r="I617" s="30"/>
    </row>
    <row r="618">
      <c r="F618" s="58"/>
      <c r="I618" s="30"/>
    </row>
    <row r="619">
      <c r="F619" s="58"/>
      <c r="I619" s="30"/>
    </row>
    <row r="620">
      <c r="F620" s="58"/>
      <c r="I620" s="30"/>
    </row>
    <row r="621">
      <c r="F621" s="58"/>
      <c r="I621" s="30"/>
    </row>
    <row r="622">
      <c r="F622" s="58"/>
      <c r="I622" s="30"/>
    </row>
    <row r="623">
      <c r="F623" s="58"/>
      <c r="I623" s="30"/>
    </row>
    <row r="624">
      <c r="F624" s="58"/>
      <c r="I624" s="30"/>
    </row>
    <row r="625">
      <c r="F625" s="58"/>
      <c r="I625" s="30"/>
    </row>
    <row r="626">
      <c r="F626" s="58"/>
      <c r="I626" s="30"/>
    </row>
    <row r="627">
      <c r="F627" s="58"/>
      <c r="I627" s="30"/>
    </row>
    <row r="628">
      <c r="F628" s="58"/>
      <c r="I628" s="30"/>
    </row>
    <row r="629">
      <c r="F629" s="58"/>
      <c r="I629" s="30"/>
    </row>
    <row r="630">
      <c r="F630" s="58"/>
      <c r="I630" s="30"/>
    </row>
    <row r="631">
      <c r="F631" s="58"/>
      <c r="I631" s="30"/>
    </row>
    <row r="632">
      <c r="F632" s="58"/>
      <c r="I632" s="30"/>
    </row>
    <row r="633">
      <c r="F633" s="58"/>
      <c r="I633" s="30"/>
    </row>
    <row r="634">
      <c r="F634" s="58"/>
      <c r="I634" s="30"/>
    </row>
    <row r="635">
      <c r="F635" s="58"/>
      <c r="I635" s="30"/>
    </row>
    <row r="636">
      <c r="F636" s="58"/>
      <c r="I636" s="30"/>
    </row>
    <row r="637">
      <c r="F637" s="58"/>
      <c r="I637" s="30"/>
    </row>
    <row r="638">
      <c r="F638" s="58"/>
      <c r="I638" s="30"/>
    </row>
    <row r="639">
      <c r="F639" s="58"/>
      <c r="I639" s="30"/>
    </row>
    <row r="640">
      <c r="F640" s="58"/>
      <c r="I640" s="30"/>
    </row>
    <row r="641">
      <c r="F641" s="58"/>
      <c r="I641" s="30"/>
    </row>
    <row r="642">
      <c r="F642" s="58"/>
      <c r="I642" s="30"/>
    </row>
    <row r="643">
      <c r="F643" s="58"/>
      <c r="I643" s="30"/>
    </row>
    <row r="644">
      <c r="F644" s="58"/>
      <c r="I644" s="30"/>
    </row>
    <row r="645">
      <c r="F645" s="58"/>
      <c r="I645" s="30"/>
    </row>
    <row r="646">
      <c r="F646" s="58"/>
      <c r="I646" s="30"/>
    </row>
    <row r="647">
      <c r="F647" s="58"/>
      <c r="I647" s="30"/>
    </row>
    <row r="648">
      <c r="F648" s="58"/>
      <c r="I648" s="30"/>
    </row>
    <row r="649">
      <c r="F649" s="58"/>
      <c r="I649" s="30"/>
    </row>
    <row r="650">
      <c r="F650" s="58"/>
      <c r="I650" s="30"/>
    </row>
    <row r="651">
      <c r="F651" s="58"/>
      <c r="I651" s="30"/>
    </row>
    <row r="652">
      <c r="F652" s="58"/>
      <c r="I652" s="30"/>
    </row>
    <row r="653">
      <c r="F653" s="58"/>
      <c r="I653" s="30"/>
    </row>
    <row r="654">
      <c r="F654" s="58"/>
      <c r="I654" s="30"/>
    </row>
    <row r="655">
      <c r="F655" s="58"/>
      <c r="I655" s="30"/>
    </row>
    <row r="656">
      <c r="F656" s="58"/>
      <c r="I656" s="30"/>
    </row>
    <row r="657">
      <c r="F657" s="58"/>
      <c r="I657" s="30"/>
    </row>
    <row r="658">
      <c r="F658" s="58"/>
      <c r="I658" s="30"/>
    </row>
    <row r="659">
      <c r="F659" s="58"/>
      <c r="I659" s="30"/>
    </row>
    <row r="660">
      <c r="F660" s="58"/>
      <c r="I660" s="30"/>
    </row>
    <row r="661">
      <c r="F661" s="58"/>
      <c r="I661" s="30"/>
    </row>
    <row r="662">
      <c r="F662" s="58"/>
      <c r="I662" s="30"/>
    </row>
    <row r="663">
      <c r="F663" s="58"/>
      <c r="I663" s="30"/>
    </row>
    <row r="664">
      <c r="F664" s="58"/>
      <c r="I664" s="30"/>
    </row>
    <row r="665">
      <c r="F665" s="58"/>
      <c r="I665" s="30"/>
    </row>
    <row r="666">
      <c r="F666" s="58"/>
      <c r="I666" s="30"/>
    </row>
    <row r="667">
      <c r="F667" s="58"/>
      <c r="I667" s="30"/>
    </row>
    <row r="668">
      <c r="F668" s="58"/>
      <c r="I668" s="30"/>
    </row>
    <row r="669">
      <c r="F669" s="58"/>
      <c r="I669" s="30"/>
    </row>
    <row r="670">
      <c r="F670" s="58"/>
      <c r="I670" s="30"/>
    </row>
    <row r="671">
      <c r="F671" s="58"/>
      <c r="I671" s="30"/>
    </row>
    <row r="672">
      <c r="F672" s="58"/>
      <c r="I672" s="30"/>
    </row>
    <row r="673">
      <c r="F673" s="58"/>
      <c r="I673" s="30"/>
    </row>
    <row r="674">
      <c r="F674" s="58"/>
      <c r="I674" s="30"/>
    </row>
    <row r="675">
      <c r="F675" s="58"/>
      <c r="I675" s="30"/>
    </row>
    <row r="676">
      <c r="F676" s="58"/>
      <c r="I676" s="30"/>
    </row>
    <row r="677">
      <c r="F677" s="58"/>
      <c r="I677" s="30"/>
    </row>
    <row r="678">
      <c r="F678" s="58"/>
      <c r="I678" s="30"/>
    </row>
    <row r="679">
      <c r="F679" s="58"/>
      <c r="I679" s="30"/>
    </row>
    <row r="680">
      <c r="F680" s="58"/>
      <c r="I680" s="30"/>
    </row>
    <row r="681">
      <c r="F681" s="58"/>
      <c r="I681" s="30"/>
    </row>
    <row r="682">
      <c r="F682" s="58"/>
      <c r="I682" s="30"/>
    </row>
    <row r="683">
      <c r="F683" s="58"/>
      <c r="I683" s="30"/>
    </row>
    <row r="684">
      <c r="F684" s="58"/>
      <c r="I684" s="30"/>
    </row>
    <row r="685">
      <c r="F685" s="58"/>
      <c r="I685" s="30"/>
    </row>
    <row r="686">
      <c r="F686" s="58"/>
      <c r="I686" s="30"/>
    </row>
    <row r="687">
      <c r="F687" s="58"/>
      <c r="I687" s="30"/>
    </row>
    <row r="688">
      <c r="F688" s="58"/>
      <c r="I688" s="30"/>
    </row>
    <row r="689">
      <c r="F689" s="58"/>
      <c r="I689" s="30"/>
    </row>
    <row r="690">
      <c r="F690" s="58"/>
      <c r="I690" s="30"/>
    </row>
    <row r="691">
      <c r="F691" s="58"/>
      <c r="I691" s="30"/>
    </row>
    <row r="692">
      <c r="F692" s="58"/>
      <c r="I692" s="30"/>
    </row>
    <row r="693">
      <c r="F693" s="58"/>
      <c r="I693" s="30"/>
    </row>
    <row r="694">
      <c r="F694" s="58"/>
      <c r="I694" s="30"/>
    </row>
    <row r="695">
      <c r="F695" s="58"/>
      <c r="I695" s="30"/>
    </row>
    <row r="696">
      <c r="F696" s="58"/>
      <c r="I696" s="30"/>
    </row>
    <row r="697">
      <c r="F697" s="58"/>
      <c r="I697" s="30"/>
    </row>
    <row r="698">
      <c r="F698" s="58"/>
      <c r="I698" s="30"/>
    </row>
    <row r="699">
      <c r="F699" s="58"/>
      <c r="I699" s="30"/>
    </row>
    <row r="700">
      <c r="F700" s="58"/>
      <c r="I700" s="30"/>
    </row>
    <row r="701">
      <c r="F701" s="58"/>
      <c r="I701" s="30"/>
    </row>
    <row r="702">
      <c r="F702" s="58"/>
      <c r="I702" s="30"/>
    </row>
    <row r="703">
      <c r="F703" s="58"/>
      <c r="I703" s="30"/>
    </row>
    <row r="704">
      <c r="F704" s="58"/>
      <c r="I704" s="30"/>
    </row>
    <row r="705">
      <c r="F705" s="58"/>
      <c r="I705" s="30"/>
    </row>
    <row r="706">
      <c r="F706" s="58"/>
      <c r="I706" s="30"/>
    </row>
    <row r="707">
      <c r="F707" s="58"/>
      <c r="I707" s="30"/>
    </row>
    <row r="708">
      <c r="F708" s="58"/>
      <c r="I708" s="30"/>
    </row>
    <row r="709">
      <c r="F709" s="58"/>
      <c r="I709" s="30"/>
    </row>
    <row r="710">
      <c r="F710" s="58"/>
      <c r="I710" s="30"/>
    </row>
    <row r="711">
      <c r="F711" s="58"/>
      <c r="I711" s="30"/>
    </row>
    <row r="712">
      <c r="F712" s="58"/>
      <c r="I712" s="30"/>
    </row>
    <row r="713">
      <c r="F713" s="58"/>
      <c r="I713" s="30"/>
    </row>
    <row r="714">
      <c r="F714" s="58"/>
      <c r="I714" s="30"/>
    </row>
    <row r="715">
      <c r="F715" s="58"/>
      <c r="I715" s="30"/>
    </row>
    <row r="716">
      <c r="F716" s="58"/>
      <c r="I716" s="30"/>
    </row>
    <row r="717">
      <c r="F717" s="58"/>
      <c r="I717" s="30"/>
    </row>
    <row r="718">
      <c r="F718" s="58"/>
      <c r="I718" s="30"/>
    </row>
    <row r="719">
      <c r="F719" s="58"/>
      <c r="I719" s="30"/>
    </row>
    <row r="720">
      <c r="F720" s="58"/>
      <c r="I720" s="30"/>
    </row>
    <row r="721">
      <c r="F721" s="58"/>
      <c r="I721" s="30"/>
    </row>
    <row r="722">
      <c r="F722" s="58"/>
      <c r="I722" s="30"/>
    </row>
    <row r="723">
      <c r="F723" s="58"/>
      <c r="I723" s="30"/>
    </row>
    <row r="724">
      <c r="F724" s="58"/>
      <c r="I724" s="30"/>
    </row>
    <row r="725">
      <c r="F725" s="58"/>
      <c r="I725" s="30"/>
    </row>
    <row r="726">
      <c r="F726" s="58"/>
      <c r="I726" s="30"/>
    </row>
    <row r="727">
      <c r="F727" s="58"/>
      <c r="I727" s="30"/>
    </row>
    <row r="728">
      <c r="F728" s="58"/>
      <c r="I728" s="30"/>
    </row>
    <row r="729">
      <c r="F729" s="58"/>
      <c r="I729" s="30"/>
    </row>
    <row r="730">
      <c r="F730" s="58"/>
      <c r="I730" s="30"/>
    </row>
    <row r="731">
      <c r="F731" s="58"/>
      <c r="I731" s="30"/>
    </row>
    <row r="732">
      <c r="F732" s="58"/>
      <c r="I732" s="30"/>
    </row>
    <row r="733">
      <c r="F733" s="58"/>
      <c r="I733" s="30"/>
    </row>
    <row r="734">
      <c r="F734" s="58"/>
      <c r="I734" s="30"/>
    </row>
    <row r="735">
      <c r="F735" s="58"/>
      <c r="I735" s="30"/>
    </row>
    <row r="736">
      <c r="F736" s="58"/>
      <c r="I736" s="30"/>
    </row>
    <row r="737">
      <c r="F737" s="58"/>
      <c r="I737" s="30"/>
    </row>
    <row r="738">
      <c r="F738" s="58"/>
      <c r="I738" s="30"/>
    </row>
    <row r="739">
      <c r="F739" s="58"/>
      <c r="I739" s="30"/>
    </row>
    <row r="740">
      <c r="F740" s="58"/>
      <c r="I740" s="30"/>
    </row>
    <row r="741">
      <c r="F741" s="58"/>
      <c r="I741" s="30"/>
    </row>
    <row r="742">
      <c r="F742" s="58"/>
      <c r="I742" s="30"/>
    </row>
    <row r="743">
      <c r="F743" s="58"/>
      <c r="I743" s="30"/>
    </row>
    <row r="744">
      <c r="F744" s="58"/>
      <c r="I744" s="30"/>
    </row>
    <row r="745">
      <c r="F745" s="58"/>
      <c r="I745" s="30"/>
    </row>
    <row r="746">
      <c r="F746" s="58"/>
      <c r="I746" s="30"/>
    </row>
    <row r="747">
      <c r="F747" s="58"/>
      <c r="I747" s="30"/>
    </row>
    <row r="748">
      <c r="F748" s="58"/>
      <c r="I748" s="30"/>
    </row>
    <row r="749">
      <c r="F749" s="58"/>
      <c r="I749" s="30"/>
    </row>
    <row r="750">
      <c r="F750" s="58"/>
      <c r="I750" s="30"/>
    </row>
    <row r="751">
      <c r="F751" s="58"/>
      <c r="I751" s="30"/>
    </row>
    <row r="752">
      <c r="F752" s="58"/>
      <c r="I752" s="30"/>
    </row>
    <row r="753">
      <c r="F753" s="58"/>
      <c r="I753" s="30"/>
    </row>
    <row r="754">
      <c r="F754" s="58"/>
      <c r="I754" s="30"/>
    </row>
    <row r="755">
      <c r="F755" s="58"/>
      <c r="I755" s="30"/>
    </row>
    <row r="756">
      <c r="F756" s="58"/>
      <c r="I756" s="30"/>
    </row>
    <row r="757">
      <c r="F757" s="58"/>
      <c r="I757" s="30"/>
    </row>
    <row r="758">
      <c r="F758" s="58"/>
      <c r="I758" s="30"/>
    </row>
    <row r="759">
      <c r="F759" s="58"/>
      <c r="I759" s="30"/>
    </row>
    <row r="760">
      <c r="F760" s="58"/>
      <c r="I760" s="30"/>
    </row>
    <row r="761">
      <c r="F761" s="58"/>
      <c r="I761" s="30"/>
    </row>
    <row r="762">
      <c r="F762" s="58"/>
      <c r="I762" s="30"/>
    </row>
    <row r="763">
      <c r="F763" s="58"/>
      <c r="I763" s="30"/>
    </row>
    <row r="764">
      <c r="F764" s="58"/>
      <c r="I764" s="30"/>
    </row>
    <row r="765">
      <c r="F765" s="58"/>
      <c r="I765" s="30"/>
    </row>
    <row r="766">
      <c r="F766" s="58"/>
      <c r="I766" s="30"/>
    </row>
    <row r="767">
      <c r="F767" s="58"/>
      <c r="I767" s="30"/>
    </row>
    <row r="768">
      <c r="F768" s="58"/>
      <c r="I768" s="30"/>
    </row>
    <row r="769">
      <c r="F769" s="58"/>
      <c r="I769" s="30"/>
    </row>
    <row r="770">
      <c r="F770" s="58"/>
      <c r="I770" s="30"/>
    </row>
    <row r="771">
      <c r="F771" s="58"/>
      <c r="I771" s="30"/>
    </row>
    <row r="772">
      <c r="F772" s="58"/>
      <c r="I772" s="30"/>
    </row>
    <row r="773">
      <c r="F773" s="58"/>
      <c r="I773" s="30"/>
    </row>
    <row r="774">
      <c r="F774" s="58"/>
      <c r="I774" s="30"/>
    </row>
    <row r="775">
      <c r="F775" s="58"/>
      <c r="I775" s="30"/>
    </row>
    <row r="776">
      <c r="F776" s="58"/>
      <c r="I776" s="30"/>
    </row>
    <row r="777">
      <c r="F777" s="58"/>
      <c r="I777" s="30"/>
    </row>
    <row r="778">
      <c r="F778" s="58"/>
      <c r="I778" s="30"/>
    </row>
    <row r="779">
      <c r="F779" s="58"/>
      <c r="I779" s="30"/>
    </row>
    <row r="780">
      <c r="F780" s="58"/>
      <c r="I780" s="30"/>
    </row>
    <row r="781">
      <c r="F781" s="58"/>
      <c r="I781" s="30"/>
    </row>
    <row r="782">
      <c r="F782" s="58"/>
      <c r="I782" s="30"/>
    </row>
    <row r="783">
      <c r="F783" s="58"/>
      <c r="I783" s="30"/>
    </row>
    <row r="784">
      <c r="F784" s="58"/>
      <c r="I784" s="30"/>
    </row>
    <row r="785">
      <c r="F785" s="58"/>
      <c r="I785" s="30"/>
    </row>
    <row r="786">
      <c r="F786" s="58"/>
      <c r="I786" s="30"/>
    </row>
    <row r="787">
      <c r="F787" s="58"/>
      <c r="I787" s="30"/>
    </row>
    <row r="788">
      <c r="F788" s="58"/>
      <c r="I788" s="30"/>
    </row>
    <row r="789">
      <c r="F789" s="58"/>
      <c r="I789" s="30"/>
    </row>
    <row r="790">
      <c r="F790" s="58"/>
      <c r="I790" s="30"/>
    </row>
    <row r="791">
      <c r="F791" s="58"/>
      <c r="I791" s="30"/>
    </row>
    <row r="792">
      <c r="F792" s="58"/>
      <c r="I792" s="30"/>
    </row>
    <row r="793">
      <c r="F793" s="58"/>
      <c r="I793" s="30"/>
    </row>
    <row r="794">
      <c r="F794" s="58"/>
      <c r="I794" s="30"/>
    </row>
    <row r="795">
      <c r="F795" s="58"/>
      <c r="I795" s="30"/>
    </row>
    <row r="796">
      <c r="F796" s="58"/>
      <c r="I796" s="30"/>
    </row>
    <row r="797">
      <c r="F797" s="58"/>
      <c r="I797" s="30"/>
    </row>
    <row r="798">
      <c r="F798" s="58"/>
      <c r="I798" s="30"/>
    </row>
    <row r="799">
      <c r="F799" s="58"/>
      <c r="I799" s="30"/>
    </row>
    <row r="800">
      <c r="F800" s="58"/>
      <c r="I800" s="30"/>
    </row>
    <row r="801">
      <c r="F801" s="58"/>
      <c r="I801" s="30"/>
    </row>
    <row r="802">
      <c r="F802" s="58"/>
      <c r="I802" s="30"/>
    </row>
    <row r="803">
      <c r="F803" s="58"/>
      <c r="I803" s="30"/>
    </row>
    <row r="804">
      <c r="F804" s="58"/>
      <c r="I804" s="30"/>
    </row>
    <row r="805">
      <c r="F805" s="58"/>
      <c r="I805" s="30"/>
    </row>
    <row r="806">
      <c r="F806" s="58"/>
      <c r="I806" s="30"/>
    </row>
    <row r="807">
      <c r="F807" s="58"/>
      <c r="I807" s="30"/>
    </row>
    <row r="808">
      <c r="F808" s="58"/>
      <c r="I808" s="30"/>
    </row>
    <row r="809">
      <c r="F809" s="58"/>
      <c r="I809" s="30"/>
    </row>
    <row r="810">
      <c r="F810" s="58"/>
      <c r="I810" s="30"/>
    </row>
    <row r="811">
      <c r="F811" s="58"/>
      <c r="I811" s="30"/>
    </row>
    <row r="812">
      <c r="F812" s="58"/>
      <c r="I812" s="30"/>
    </row>
    <row r="813">
      <c r="F813" s="58"/>
      <c r="I813" s="30"/>
    </row>
    <row r="814">
      <c r="F814" s="58"/>
      <c r="I814" s="30"/>
    </row>
    <row r="815">
      <c r="F815" s="58"/>
      <c r="I815" s="30"/>
    </row>
    <row r="816">
      <c r="F816" s="58"/>
      <c r="I816" s="30"/>
    </row>
    <row r="817">
      <c r="F817" s="58"/>
      <c r="I817" s="30"/>
    </row>
    <row r="818">
      <c r="F818" s="58"/>
      <c r="I818" s="30"/>
    </row>
    <row r="819">
      <c r="F819" s="58"/>
      <c r="I819" s="30"/>
    </row>
    <row r="820">
      <c r="F820" s="58"/>
      <c r="I820" s="30"/>
    </row>
    <row r="821">
      <c r="F821" s="58"/>
      <c r="I821" s="30"/>
    </row>
    <row r="822">
      <c r="F822" s="58"/>
      <c r="I822" s="30"/>
    </row>
    <row r="823">
      <c r="F823" s="58"/>
      <c r="I823" s="30"/>
    </row>
    <row r="824">
      <c r="F824" s="58"/>
      <c r="I824" s="30"/>
    </row>
    <row r="825">
      <c r="F825" s="58"/>
      <c r="I825" s="30"/>
    </row>
    <row r="826">
      <c r="F826" s="58"/>
      <c r="I826" s="30"/>
    </row>
    <row r="827">
      <c r="F827" s="58"/>
      <c r="I827" s="30"/>
    </row>
    <row r="828">
      <c r="F828" s="58"/>
      <c r="I828" s="30"/>
    </row>
    <row r="829">
      <c r="F829" s="58"/>
      <c r="I829" s="30"/>
    </row>
    <row r="830">
      <c r="F830" s="58"/>
      <c r="I830" s="30"/>
    </row>
    <row r="831">
      <c r="F831" s="58"/>
      <c r="I831" s="30"/>
    </row>
    <row r="832">
      <c r="F832" s="58"/>
      <c r="I832" s="30"/>
    </row>
    <row r="833">
      <c r="F833" s="58"/>
      <c r="I833" s="30"/>
    </row>
    <row r="834">
      <c r="F834" s="58"/>
      <c r="I834" s="30"/>
    </row>
    <row r="835">
      <c r="F835" s="58"/>
      <c r="I835" s="30"/>
    </row>
    <row r="836">
      <c r="F836" s="58"/>
      <c r="I836" s="30"/>
    </row>
    <row r="837">
      <c r="F837" s="58"/>
      <c r="I837" s="30"/>
    </row>
    <row r="838">
      <c r="F838" s="58"/>
      <c r="I838" s="30"/>
    </row>
    <row r="839">
      <c r="F839" s="58"/>
      <c r="I839" s="30"/>
    </row>
    <row r="840">
      <c r="F840" s="58"/>
      <c r="I840" s="30"/>
    </row>
    <row r="841">
      <c r="F841" s="58"/>
      <c r="I841" s="30"/>
    </row>
    <row r="842">
      <c r="F842" s="58"/>
      <c r="I842" s="30"/>
    </row>
    <row r="843">
      <c r="F843" s="58"/>
      <c r="I843" s="30"/>
    </row>
    <row r="844">
      <c r="F844" s="58"/>
      <c r="I844" s="30"/>
    </row>
    <row r="845">
      <c r="F845" s="58"/>
      <c r="I845" s="30"/>
    </row>
    <row r="846">
      <c r="F846" s="58"/>
      <c r="I846" s="30"/>
    </row>
    <row r="847">
      <c r="F847" s="58"/>
      <c r="I847" s="30"/>
    </row>
    <row r="848">
      <c r="F848" s="58"/>
      <c r="I848" s="30"/>
    </row>
    <row r="849">
      <c r="F849" s="58"/>
      <c r="I849" s="30"/>
    </row>
    <row r="850">
      <c r="F850" s="58"/>
      <c r="I850" s="30"/>
    </row>
    <row r="851">
      <c r="F851" s="58"/>
      <c r="I851" s="30"/>
    </row>
    <row r="852">
      <c r="F852" s="58"/>
      <c r="I852" s="30"/>
    </row>
    <row r="853">
      <c r="F853" s="58"/>
      <c r="I853" s="30"/>
    </row>
    <row r="854">
      <c r="F854" s="58"/>
      <c r="I854" s="30"/>
    </row>
    <row r="855">
      <c r="F855" s="58"/>
      <c r="I855" s="30"/>
    </row>
    <row r="856">
      <c r="F856" s="58"/>
      <c r="I856" s="30"/>
    </row>
    <row r="857">
      <c r="F857" s="58"/>
      <c r="I857" s="30"/>
    </row>
    <row r="858">
      <c r="F858" s="58"/>
      <c r="I858" s="30"/>
    </row>
    <row r="859">
      <c r="F859" s="58"/>
      <c r="I859" s="30"/>
    </row>
    <row r="860">
      <c r="F860" s="58"/>
      <c r="I860" s="30"/>
    </row>
    <row r="861">
      <c r="F861" s="58"/>
      <c r="I861" s="30"/>
    </row>
    <row r="862">
      <c r="F862" s="58"/>
      <c r="I862" s="30"/>
    </row>
    <row r="863">
      <c r="F863" s="58"/>
      <c r="I863" s="30"/>
    </row>
    <row r="864">
      <c r="F864" s="58"/>
      <c r="I864" s="30"/>
    </row>
    <row r="865">
      <c r="F865" s="58"/>
      <c r="I865" s="30"/>
    </row>
    <row r="866">
      <c r="F866" s="58"/>
      <c r="I866" s="30"/>
    </row>
    <row r="867">
      <c r="F867" s="58"/>
      <c r="I867" s="30"/>
    </row>
    <row r="868">
      <c r="F868" s="58"/>
      <c r="I868" s="30"/>
    </row>
    <row r="869">
      <c r="F869" s="58"/>
      <c r="I869" s="30"/>
    </row>
    <row r="870">
      <c r="F870" s="58"/>
      <c r="I870" s="30"/>
    </row>
    <row r="871">
      <c r="F871" s="58"/>
      <c r="I871" s="30"/>
    </row>
    <row r="872">
      <c r="F872" s="58"/>
      <c r="I872" s="30"/>
    </row>
    <row r="873">
      <c r="F873" s="58"/>
      <c r="I873" s="30"/>
    </row>
    <row r="874">
      <c r="F874" s="58"/>
      <c r="I874" s="30"/>
    </row>
    <row r="875">
      <c r="F875" s="58"/>
      <c r="I875" s="30"/>
    </row>
    <row r="876">
      <c r="F876" s="58"/>
      <c r="I876" s="30"/>
    </row>
    <row r="877">
      <c r="F877" s="58"/>
      <c r="I877" s="30"/>
    </row>
    <row r="878">
      <c r="F878" s="58"/>
      <c r="I878" s="30"/>
    </row>
    <row r="879">
      <c r="F879" s="58"/>
      <c r="I879" s="30"/>
    </row>
    <row r="880">
      <c r="F880" s="58"/>
      <c r="I880" s="30"/>
    </row>
    <row r="881">
      <c r="F881" s="58"/>
      <c r="I881" s="30"/>
    </row>
    <row r="882">
      <c r="F882" s="58"/>
      <c r="I882" s="30"/>
    </row>
    <row r="883">
      <c r="F883" s="58"/>
      <c r="I883" s="30"/>
    </row>
    <row r="884">
      <c r="F884" s="58"/>
      <c r="I884" s="30"/>
    </row>
    <row r="885">
      <c r="F885" s="58"/>
      <c r="I885" s="30"/>
    </row>
    <row r="886">
      <c r="F886" s="58"/>
      <c r="I886" s="30"/>
    </row>
    <row r="887">
      <c r="F887" s="58"/>
      <c r="I887" s="30"/>
    </row>
    <row r="888">
      <c r="F888" s="58"/>
      <c r="I888" s="30"/>
    </row>
    <row r="889">
      <c r="F889" s="58"/>
      <c r="I889" s="30"/>
    </row>
    <row r="890">
      <c r="F890" s="58"/>
      <c r="I890" s="30"/>
    </row>
    <row r="891">
      <c r="F891" s="58"/>
      <c r="I891" s="30"/>
    </row>
    <row r="892">
      <c r="F892" s="58"/>
      <c r="I892" s="30"/>
    </row>
    <row r="893">
      <c r="F893" s="58"/>
      <c r="I893" s="30"/>
    </row>
    <row r="894">
      <c r="F894" s="58"/>
      <c r="I894" s="30"/>
    </row>
    <row r="895">
      <c r="F895" s="58"/>
      <c r="I895" s="30"/>
    </row>
    <row r="896">
      <c r="F896" s="58"/>
      <c r="I896" s="30"/>
    </row>
    <row r="897">
      <c r="F897" s="58"/>
      <c r="I897" s="30"/>
    </row>
    <row r="898">
      <c r="F898" s="58"/>
      <c r="I898" s="30"/>
    </row>
    <row r="899">
      <c r="F899" s="58"/>
      <c r="I899" s="30"/>
    </row>
    <row r="900">
      <c r="F900" s="58"/>
      <c r="I900" s="30"/>
    </row>
    <row r="901">
      <c r="F901" s="58"/>
      <c r="I901" s="30"/>
    </row>
    <row r="902">
      <c r="F902" s="58"/>
      <c r="I902" s="30"/>
    </row>
    <row r="903">
      <c r="F903" s="58"/>
      <c r="I903" s="30"/>
    </row>
    <row r="904">
      <c r="F904" s="58"/>
      <c r="I904" s="30"/>
    </row>
    <row r="905">
      <c r="F905" s="58"/>
      <c r="I905" s="30"/>
    </row>
    <row r="906">
      <c r="F906" s="58"/>
      <c r="I906" s="30"/>
    </row>
    <row r="907">
      <c r="F907" s="58"/>
      <c r="I907" s="30"/>
    </row>
    <row r="908">
      <c r="F908" s="58"/>
      <c r="I908" s="30"/>
    </row>
    <row r="909">
      <c r="F909" s="58"/>
      <c r="I909" s="30"/>
    </row>
    <row r="910">
      <c r="F910" s="58"/>
      <c r="I910" s="30"/>
    </row>
    <row r="911">
      <c r="F911" s="58"/>
      <c r="I911" s="30"/>
    </row>
    <row r="912">
      <c r="F912" s="58"/>
      <c r="I912" s="30"/>
    </row>
    <row r="913">
      <c r="F913" s="58"/>
      <c r="I913" s="30"/>
    </row>
    <row r="914">
      <c r="F914" s="58"/>
      <c r="I914" s="30"/>
    </row>
    <row r="915">
      <c r="F915" s="58"/>
      <c r="I915" s="30"/>
    </row>
    <row r="916">
      <c r="F916" s="58"/>
      <c r="I916" s="30"/>
    </row>
    <row r="917">
      <c r="F917" s="58"/>
      <c r="I917" s="30"/>
    </row>
    <row r="918">
      <c r="F918" s="58"/>
      <c r="I918" s="30"/>
    </row>
    <row r="919">
      <c r="F919" s="58"/>
      <c r="I919" s="30"/>
    </row>
    <row r="920">
      <c r="F920" s="58"/>
      <c r="I920" s="30"/>
    </row>
    <row r="921">
      <c r="F921" s="58"/>
      <c r="I921" s="30"/>
    </row>
    <row r="922">
      <c r="F922" s="58"/>
      <c r="I922" s="30"/>
    </row>
    <row r="923">
      <c r="F923" s="58"/>
      <c r="I923" s="30"/>
    </row>
    <row r="924">
      <c r="F924" s="58"/>
      <c r="I924" s="30"/>
    </row>
    <row r="925">
      <c r="F925" s="58"/>
      <c r="I925" s="30"/>
    </row>
    <row r="926">
      <c r="F926" s="58"/>
      <c r="I926" s="30"/>
    </row>
    <row r="927">
      <c r="F927" s="58"/>
      <c r="I927" s="30"/>
    </row>
    <row r="928">
      <c r="F928" s="58"/>
      <c r="I928" s="30"/>
    </row>
    <row r="929">
      <c r="F929" s="58"/>
      <c r="I929" s="30"/>
    </row>
    <row r="930">
      <c r="F930" s="58"/>
      <c r="I930" s="30"/>
    </row>
    <row r="931">
      <c r="F931" s="58"/>
      <c r="I931" s="30"/>
    </row>
    <row r="932">
      <c r="F932" s="58"/>
      <c r="I932" s="30"/>
    </row>
    <row r="933">
      <c r="F933" s="58"/>
      <c r="I933" s="30"/>
    </row>
    <row r="934">
      <c r="F934" s="58"/>
      <c r="I934" s="30"/>
    </row>
    <row r="935">
      <c r="F935" s="58"/>
      <c r="I935" s="30"/>
    </row>
    <row r="936">
      <c r="F936" s="58"/>
      <c r="I936" s="30"/>
    </row>
    <row r="937">
      <c r="F937" s="58"/>
      <c r="I937" s="30"/>
    </row>
    <row r="938">
      <c r="F938" s="58"/>
      <c r="I938" s="30"/>
    </row>
    <row r="939">
      <c r="F939" s="58"/>
      <c r="I939" s="30"/>
    </row>
    <row r="940">
      <c r="F940" s="58"/>
      <c r="I940" s="30"/>
    </row>
    <row r="941">
      <c r="F941" s="58"/>
      <c r="I941" s="30"/>
    </row>
    <row r="942">
      <c r="F942" s="58"/>
      <c r="I942" s="30"/>
    </row>
    <row r="943">
      <c r="F943" s="58"/>
      <c r="I943" s="30"/>
    </row>
    <row r="944">
      <c r="F944" s="58"/>
      <c r="I944" s="30"/>
    </row>
    <row r="945">
      <c r="F945" s="58"/>
      <c r="I945" s="30"/>
    </row>
    <row r="946">
      <c r="F946" s="58"/>
      <c r="I946" s="30"/>
    </row>
    <row r="947">
      <c r="F947" s="58"/>
      <c r="I947" s="30"/>
    </row>
    <row r="948">
      <c r="F948" s="58"/>
      <c r="I948" s="30"/>
    </row>
    <row r="949">
      <c r="F949" s="58"/>
      <c r="I949" s="30"/>
    </row>
    <row r="950">
      <c r="F950" s="58"/>
      <c r="I950" s="30"/>
    </row>
    <row r="951">
      <c r="F951" s="58"/>
      <c r="I951" s="30"/>
    </row>
    <row r="952">
      <c r="F952" s="58"/>
      <c r="I952" s="30"/>
    </row>
    <row r="953">
      <c r="F953" s="58"/>
      <c r="I953" s="30"/>
    </row>
    <row r="954">
      <c r="F954" s="58"/>
      <c r="I954" s="30"/>
    </row>
    <row r="955">
      <c r="F955" s="58"/>
      <c r="I955" s="30"/>
    </row>
    <row r="956">
      <c r="F956" s="58"/>
      <c r="I956" s="30"/>
    </row>
    <row r="957">
      <c r="F957" s="58"/>
      <c r="I957" s="30"/>
    </row>
    <row r="958">
      <c r="F958" s="58"/>
      <c r="I958" s="30"/>
    </row>
    <row r="959">
      <c r="F959" s="58"/>
      <c r="I959" s="30"/>
    </row>
    <row r="960">
      <c r="F960" s="58"/>
      <c r="I960" s="30"/>
    </row>
    <row r="961">
      <c r="F961" s="58"/>
      <c r="I961" s="30"/>
    </row>
    <row r="962">
      <c r="F962" s="58"/>
      <c r="I962" s="30"/>
    </row>
    <row r="963">
      <c r="F963" s="58"/>
      <c r="I963" s="30"/>
    </row>
    <row r="964">
      <c r="F964" s="58"/>
      <c r="I964" s="30"/>
    </row>
    <row r="965">
      <c r="F965" s="58"/>
      <c r="I965" s="30"/>
    </row>
    <row r="966">
      <c r="F966" s="58"/>
      <c r="I966" s="30"/>
    </row>
    <row r="967">
      <c r="F967" s="58"/>
      <c r="I967" s="30"/>
    </row>
    <row r="968">
      <c r="F968" s="58"/>
      <c r="I968" s="30"/>
    </row>
    <row r="969">
      <c r="F969" s="58"/>
      <c r="I969" s="30"/>
    </row>
    <row r="970">
      <c r="F970" s="58"/>
      <c r="I970" s="30"/>
    </row>
    <row r="971">
      <c r="F971" s="58"/>
      <c r="I971" s="30"/>
    </row>
    <row r="972">
      <c r="F972" s="58"/>
      <c r="I972" s="30"/>
    </row>
    <row r="973">
      <c r="F973" s="58"/>
      <c r="I973" s="30"/>
    </row>
    <row r="974">
      <c r="F974" s="58"/>
      <c r="I974" s="30"/>
    </row>
    <row r="975">
      <c r="F975" s="58"/>
      <c r="I975" s="30"/>
    </row>
    <row r="976">
      <c r="F976" s="58"/>
      <c r="I976" s="30"/>
    </row>
    <row r="977">
      <c r="F977" s="58"/>
      <c r="I977" s="30"/>
    </row>
    <row r="978">
      <c r="F978" s="58"/>
      <c r="I978" s="30"/>
    </row>
    <row r="979">
      <c r="F979" s="58"/>
      <c r="I979" s="30"/>
    </row>
    <row r="980">
      <c r="F980" s="58"/>
      <c r="I980" s="30"/>
    </row>
    <row r="981">
      <c r="F981" s="58"/>
      <c r="I981" s="30"/>
    </row>
    <row r="982">
      <c r="F982" s="58"/>
      <c r="I982" s="30"/>
    </row>
    <row r="983">
      <c r="F983" s="58"/>
      <c r="I983" s="30"/>
    </row>
    <row r="984">
      <c r="F984" s="58"/>
      <c r="I984" s="30"/>
    </row>
    <row r="985">
      <c r="F985" s="58"/>
      <c r="I985" s="30"/>
    </row>
    <row r="986">
      <c r="F986" s="58"/>
      <c r="I986" s="30"/>
    </row>
    <row r="987">
      <c r="F987" s="58"/>
      <c r="I987" s="30"/>
    </row>
    <row r="988">
      <c r="F988" s="58"/>
      <c r="I988" s="30"/>
    </row>
    <row r="989">
      <c r="F989" s="58"/>
      <c r="I989" s="30"/>
    </row>
    <row r="990">
      <c r="F990" s="58"/>
      <c r="I990" s="30"/>
    </row>
    <row r="991">
      <c r="F991" s="58"/>
      <c r="I991" s="30"/>
    </row>
    <row r="992">
      <c r="F992" s="58"/>
      <c r="I992" s="30"/>
    </row>
    <row r="993">
      <c r="F993" s="58"/>
      <c r="I993" s="30"/>
    </row>
    <row r="994">
      <c r="F994" s="58"/>
      <c r="I994" s="30"/>
    </row>
    <row r="995">
      <c r="F995" s="58"/>
      <c r="I995" s="30"/>
    </row>
    <row r="996">
      <c r="F996" s="58"/>
      <c r="I996" s="30"/>
    </row>
    <row r="997">
      <c r="F997" s="58"/>
      <c r="I997" s="30"/>
    </row>
    <row r="998">
      <c r="F998" s="58"/>
      <c r="I998" s="30"/>
    </row>
    <row r="999">
      <c r="F999" s="58"/>
      <c r="I999" s="30"/>
    </row>
    <row r="1000">
      <c r="F1000" s="58"/>
      <c r="I1000" s="30"/>
    </row>
    <row r="1001">
      <c r="F1001" s="58"/>
      <c r="I1001" s="30"/>
    </row>
    <row r="1002">
      <c r="F1002" s="58"/>
      <c r="I1002" s="30"/>
    </row>
    <row r="1003">
      <c r="F1003" s="58"/>
      <c r="I1003" s="30"/>
    </row>
  </sheetData>
  <mergeCells count="1">
    <mergeCell ref="C1:F1"/>
  </mergeCells>
  <hyperlinks>
    <hyperlink r:id="rId2" ref="F2"/>
  </hyperlinks>
  <drawing r:id="rId3"/>
  <legacyDrawing r:id="rId4"/>
</worksheet>
</file>