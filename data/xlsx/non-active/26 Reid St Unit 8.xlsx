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<sst xmlns="http://schemas.openxmlformats.org/spreadsheetml/2006/main" count="55" uniqueCount="33">
  <si>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</si>
  <si>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</si>
  <si>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</si>
  <si>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</si>
  <si>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</si>
  <si>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</si>
  <si>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</si>
  <si>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</si>
  <si>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</si>
  <si>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</si>
  <si>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</si>
  <si>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</si>
  <si>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</si>
  <si>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</si>
  <si>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</si>
  <si>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</si>
  <si>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26 Reid Street, unit 8</t>
  </si>
  <si>
    <t>https://www.zillow.com/homedetails/26-Reid-St-UNIT-8-Marion-NC-28752/455785454_zpid/</t>
  </si>
  <si>
    <t>Current List Price</t>
  </si>
  <si>
    <t>Week Ending In</t>
  </si>
  <si>
    <t>No. Leads</t>
  </si>
  <si>
    <t>Pre-Qualified Leads</t>
  </si>
  <si>
    <t>Scheduled Showngs</t>
  </si>
  <si>
    <t xml:space="preserve">
We already have a scheduled appointment for Wednesday at 3pm. I will follow up with the other leads who did not move forward with a tour this week.
</t>
  </si>
  <si>
    <r>
      <rPr>
        <rFont val="Arial"/>
        <color theme="1"/>
      </rPr>
      <t xml:space="preserve">
Activity has remained consistent, but there have been less tour requests without follow up on my part. I will be diligent on follow ups to see if we can get more people inside. 
As of this week, we had one showing cancel due to finding a place they already applied for, and a showing on Thursday of this week to tour unit 8. Will keep you posted on any developments.
</t>
    </r>
    <r>
      <rPr>
        <rFont val="Arial"/>
        <b/>
        <color theme="1"/>
      </rPr>
      <t xml:space="preserve">Facebook: </t>
    </r>
    <r>
      <rPr>
        <rFont val="Arial"/>
        <color theme="1"/>
      </rPr>
      <t>1167 Clicks, 4 saves, 6 conversations</t>
    </r>
  </si>
  <si>
    <t xml:space="preserve">
This past week we saw a slow down in leads, so I think I need to try diving into the archived leads to see if there is a good candidate that just needs a nudge. I did receive a text from someone I showed the unit to previously who said they plan on turning in an application, but have not seen one come in yet. I will follow up with him if one does not come in by the end of the week. 
Can you let me know if unit 8 is move-in ready and what the timeline is for the next unit? 
</t>
  </si>
  <si>
    <r>
      <t xml:space="preserve">
</t>
    </r>
    <r>
      <rPr>
        <rFont val="Arial"/>
        <b val="0"/>
        <color theme="1"/>
      </rPr>
      <t xml:space="preserve">We had two tours scheduled for last week, but one had to cancel and the other has yet to respond. I expect to reschedule that appointment this week. There are also a handful of leads that never scheduled a tour that can be called to gain some feedback and nudge a couple prospects into getting eyes inside the unit. We will push for that and keep you posted next week. Hoping the price drop will add to that momentum as well.
</t>
    </r>
    <r>
      <rPr>
        <rFont val="Arial"/>
        <b/>
        <color theme="1"/>
      </rPr>
      <t xml:space="preserve">Facebook: </t>
    </r>
    <r>
      <rPr>
        <rFont val="Arial"/>
        <b val="0"/>
        <color theme="1"/>
      </rPr>
      <t xml:space="preserve">18 clicks
</t>
    </r>
  </si>
  <si>
    <r>
      <rPr>
        <rFont val="Arial"/>
        <b val="0"/>
        <color theme="1"/>
      </rPr>
      <t xml:space="preserve">Currently have good momentum at the moment. Had two showings in the last week. No feedback yet, they are thinking about applying but not looking likely at the moment. We have two more showings scheduled in the next week. 
</t>
    </r>
    <r>
      <rPr>
        <rFont val="Arial"/>
        <b/>
        <color theme="1"/>
      </rPr>
      <t xml:space="preserve">Facebook: </t>
    </r>
    <r>
      <rPr>
        <rFont val="Arial"/>
        <b val="0"/>
        <color theme="1"/>
      </rPr>
      <t xml:space="preserve">286 Clicks, 3 saves, 6 Conversations. </t>
    </r>
  </si>
  <si>
    <r>
      <rPr>
        <rFont val="Arial"/>
        <b val="0"/>
        <color theme="1"/>
      </rPr>
      <t xml:space="preserve">As stated last week, the momentum seems to be improving. We have two showing this week and will push for feedback.
There is a separate lead that was looking in the $1100 price range. How low would you go at Reid if he was a qualified applicant?
</t>
    </r>
    <r>
      <rPr>
        <rFont val="Arial"/>
        <b/>
        <color theme="1"/>
      </rPr>
      <t xml:space="preserve">
Facebook: </t>
    </r>
    <r>
      <rPr>
        <rFont val="Arial"/>
        <b val="0"/>
        <color theme="1"/>
      </rPr>
      <t>321 clicks, 6 saves, 7 conversations</t>
    </r>
  </si>
  <si>
    <t>Average</t>
  </si>
  <si>
    <r>
      <rPr>
        <rFont val="Arial"/>
        <b val="0"/>
        <color theme="1"/>
      </rPr>
      <t xml:space="preserve">Regarding the tours from last week, one guy has followed up with us a couple times and we expect an application turned in this week. If we do not get one, we will follow up. One was a no show and one was through a program that I am still waiting to receive information from before considering an application.
We have another tour scheduled for this Thursday at 4pm.
Our sign was removed from the property and we do not know why, so unsure if it is smart to put another sign out there as of now, but let us know what your feedback is regarding this.
I received your email about the exterior maintenance being addressed. 
</t>
    </r>
    <r>
      <rPr>
        <rFont val="Arial"/>
        <b/>
        <color theme="1"/>
      </rPr>
      <t>Facebook:</t>
    </r>
    <r>
      <rPr>
        <rFont val="Arial"/>
        <b val="0"/>
        <color theme="1"/>
      </rPr>
      <t xml:space="preserve"> 421 Clicks, 8 saves, 1 share. 8 conversations</t>
    </r>
  </si>
  <si>
    <r>
      <rPr>
        <rFont val="Arial"/>
        <b val="0"/>
        <color theme="1"/>
      </rPr>
      <t>We have a couple tours, 1 for this week and 1 for next week. I can also do a deeper dive into the archived leads to see if we can get some additional eyes in the unit.</t>
    </r>
    <r>
      <rPr>
        <rFont val="Arial"/>
        <b/>
        <color theme="1"/>
      </rPr>
      <t xml:space="preserve">
Facebook:</t>
    </r>
    <r>
      <rPr>
        <rFont val="Arial"/>
        <b val="0"/>
        <color theme="1"/>
      </rPr>
      <t xml:space="preserve"> 1030 clicks, 3 saves, 1 share, 3 conversations</t>
    </r>
  </si>
  <si>
    <r>
      <rPr>
        <rFont val="Arial"/>
        <b val="0"/>
        <color theme="1"/>
      </rPr>
      <t xml:space="preserve">We had to deny the previous applicant due to a multitude of red flags, but offered him a chance if he could get a quality co-signer. He did not respond. 
We had a successful showing last week with the head of an organization that helps people who cannot live on their own to reacclimate to life on their own. I would need more details about the program, but they seemed interested.
We have 4 showings scheduled for this afternoon at 4:30pm.
</t>
    </r>
    <r>
      <rPr>
        <rFont val="Arial"/>
        <b/>
        <color theme="1"/>
      </rPr>
      <t xml:space="preserve">Facebook: </t>
    </r>
    <r>
      <rPr>
        <rFont val="Arial"/>
        <b val="0"/>
        <color theme="1"/>
      </rPr>
      <t>298 clicks, 6 saves, 0 shares, 6 conversations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</si>
</sst>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9" numFmtId="0" xfId="0" applyAlignment="1" applyFont="1">
      <alignment horizontal="center"/>
    </xf>
    <xf borderId="24" fillId="0" fontId="9" numFmtId="0" xfId="0" applyAlignment="1" applyBorder="1" applyFont="1">
      <alignment horizontal="left" readingOrder="0" shrinkToFit="0" wrapText="1"/>
    </xf>
    <xf borderId="24" fillId="0" fontId="13" numFmtId="0" xfId="0" applyAlignment="1" applyBorder="1" applyFont="1">
      <alignment horizontal="left" readingOrder="0" shrinkToFit="0" wrapText="1"/>
    </xf>
    <xf borderId="0" fillId="0" fontId="13" numFmtId="0" xfId="0" applyAlignment="1" applyFont="1">
      <alignment readingOrder="0"/>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horizontal="left" shrinkToFit="0" wrapText="1"/>
    </xf>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6-Reid-St-UNIT-8-Marion-NC-28752/455785454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26 Reid Street, unit 8</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9</v>
      </c>
      <c r="C6" s="12" t="str">
        <f>IFERROR(__xludf.DUMMYFUNCTION("IF(COUNTUNIQUE('Data Entry'!B:B)&lt;2, """", TEXT(XLOOKUP(MAX('Data Entry'!B:B), 'Data Entry'!B:B, 'Data Entry'!C:C, 0, FALSE, -1) - IFERROR(XLOOKUP(LARGE(UNIQUE('Data Entry'!B:B), 2), 'Data Entry'!B:B, 'Data Entry'!C:C, 0, FALSE, -1), 0), ""+0;-0;0""))"),"+6")</f>
        <v>+6</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5</v>
      </c>
      <c r="C7" s="12" t="str">
        <f>IFERROR(__xludf.DUMMYFUNCTION("IF(COUNTUNIQUE('Data Entry'!B:B)&lt;2, """", TEXT(XLOOKUP(MAX('Data Entry'!B:B), 'Data Entry'!B:B, 'Data Entry'!D:D, 0, FALSE, -1) - IFERROR(XLOOKUP(LARGE(UNIQUE('Data Entry'!B:B), 2), 'Data Entry'!B:B, 'Data Entry'!D:D, 0, FALSE, -1), 0), ""+0;-0;0""))"),"+3")</f>
        <v>+3</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5</v>
      </c>
      <c r="C8" s="12" t="str">
        <f>IFERROR(__xludf.DUMMYFUNCTION("IF(COUNTUNIQUE('Data Entry'!B:B)&lt;2, """", TEXT(XLOOKUP(MAX('Data Entry'!B:B), 'Data Entry'!B:B, 'Data Entry'!E:E, 0, FALSE, -1) - IFERROR(XLOOKUP(LARGE(UNIQUE('Data Entry'!B:B), 2), 'Data Entry'!B:B, 'Data Entry'!E:E, 0, FALSE, -1), 0), ""+0;-0;0""))"),"+4")</f>
        <v>+4</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0</v>
      </c>
      <c r="C10" s="12"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We had to deny the previous applicant due to a multitude of red flags, but offered him a chance if he could get a quality co-signer. He did not respond. 
We had a successful showing last week with the head of an organization that helps people who cannot live on their own to reacclimate to life on their own. I would need more details about the program, but they seemed interested.
We have 4 showings scheduled for this afternoon at 4:30pm.
Facebook: 298 clicks, 6 saves, 0 shares, 6 conversations</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62</v>
      </c>
      <c r="C18" s="24">
        <f>'Data Entry'!K11</f>
        <v>6.888888889</v>
      </c>
      <c r="D18" s="7"/>
      <c r="E18" s="7"/>
      <c r="F18" s="4"/>
      <c r="G18" s="4"/>
      <c r="H18" s="4"/>
      <c r="I18" s="4"/>
      <c r="J18" s="4"/>
      <c r="K18" s="4"/>
      <c r="L18" s="4"/>
      <c r="M18" s="4"/>
      <c r="N18" s="4"/>
      <c r="O18" s="4"/>
      <c r="P18" s="4"/>
      <c r="Q18" s="4"/>
      <c r="R18" s="4"/>
      <c r="S18" s="4"/>
      <c r="T18" s="4"/>
      <c r="U18" s="4"/>
      <c r="V18" s="4"/>
      <c r="W18" s="4"/>
    </row>
    <row r="19">
      <c r="A19" s="5" t="s">
        <v>5</v>
      </c>
      <c r="B19" s="23">
        <f>'Data Entry'!K5</f>
        <v>25</v>
      </c>
      <c r="C19" s="24">
        <f>'Data Entry'!K12</f>
        <v>2.777777778</v>
      </c>
      <c r="D19" s="7"/>
      <c r="E19" s="7"/>
      <c r="F19" s="4"/>
      <c r="G19" s="4"/>
      <c r="H19" s="4"/>
      <c r="I19" s="4"/>
      <c r="J19" s="4"/>
      <c r="K19" s="4"/>
      <c r="L19" s="4"/>
      <c r="M19" s="4"/>
      <c r="N19" s="4"/>
      <c r="O19" s="4"/>
      <c r="P19" s="4"/>
      <c r="Q19" s="4"/>
      <c r="R19" s="4"/>
      <c r="S19" s="4"/>
      <c r="T19" s="4"/>
      <c r="U19" s="4"/>
      <c r="V19" s="4"/>
      <c r="W19" s="4"/>
    </row>
    <row r="20">
      <c r="A20" s="5" t="s">
        <v>6</v>
      </c>
      <c r="B20" s="23">
        <f>'Data Entry'!K6</f>
        <v>20</v>
      </c>
      <c r="C20" s="24">
        <f>'Data Entry'!K13</f>
        <v>2.222222222</v>
      </c>
      <c r="D20" s="7"/>
      <c r="E20" s="7"/>
      <c r="F20" s="4"/>
      <c r="G20" s="4"/>
      <c r="H20" s="4"/>
      <c r="I20" s="4"/>
      <c r="J20" s="4"/>
      <c r="K20" s="4"/>
      <c r="L20" s="4"/>
      <c r="M20" s="4"/>
      <c r="N20" s="4"/>
      <c r="O20" s="4"/>
      <c r="P20" s="4"/>
      <c r="Q20" s="4"/>
      <c r="R20" s="4"/>
      <c r="S20" s="4"/>
      <c r="T20" s="4"/>
      <c r="U20" s="4"/>
      <c r="V20" s="4"/>
      <c r="W20" s="4"/>
    </row>
    <row r="21">
      <c r="A21" s="5" t="s">
        <v>7</v>
      </c>
      <c r="B21" s="23">
        <f>'Data Entry'!K7</f>
        <v>12</v>
      </c>
      <c r="C21" s="24">
        <f>'Data Entry'!K14</f>
        <v>1.333333333</v>
      </c>
      <c r="D21" s="7"/>
      <c r="E21" s="7"/>
      <c r="F21" s="4"/>
      <c r="G21" s="4"/>
      <c r="H21" s="4"/>
      <c r="I21" s="4"/>
      <c r="J21" s="4"/>
      <c r="K21" s="4"/>
      <c r="L21" s="4"/>
      <c r="M21" s="4"/>
      <c r="N21" s="4"/>
      <c r="O21" s="4"/>
      <c r="P21" s="4"/>
      <c r="Q21" s="4"/>
      <c r="R21" s="4"/>
      <c r="S21" s="4"/>
      <c r="T21" s="4"/>
      <c r="U21" s="4"/>
      <c r="V21" s="4"/>
      <c r="W21" s="4"/>
    </row>
    <row r="22">
      <c r="A22" s="5" t="s">
        <v>8</v>
      </c>
      <c r="B22" s="23">
        <f>'Data Entry'!K8</f>
        <v>1</v>
      </c>
      <c r="C22" s="23">
        <f>'Data Entry'!K15</f>
        <v>0.2</v>
      </c>
      <c r="D22" s="7"/>
      <c r="E22" s="7"/>
      <c r="F22" s="4"/>
      <c r="G22" s="4"/>
      <c r="H22" s="4"/>
      <c r="I22" s="4"/>
      <c r="J22" s="4"/>
      <c r="K22" s="4"/>
      <c r="L22" s="4"/>
      <c r="M22" s="4"/>
      <c r="N22" s="4"/>
      <c r="O22" s="4"/>
      <c r="P22" s="4"/>
      <c r="Q22" s="4"/>
      <c r="R22" s="4"/>
      <c r="S22" s="4"/>
      <c r="T22" s="4"/>
      <c r="U22" s="4"/>
      <c r="V22" s="4"/>
      <c r="W22" s="4"/>
    </row>
    <row r="23">
      <c r="A23" s="13" t="s">
        <v>13</v>
      </c>
      <c r="B23" s="25">
        <f>'Data Entry'!D2</f>
        <v>62</v>
      </c>
      <c r="C23" s="3"/>
      <c r="D23" s="7"/>
      <c r="E23" s="7"/>
      <c r="F23" s="4"/>
      <c r="G23" s="4"/>
      <c r="H23" s="4"/>
      <c r="I23" s="4"/>
      <c r="J23" s="4"/>
      <c r="K23" s="4"/>
      <c r="L23" s="4"/>
      <c r="M23" s="4"/>
      <c r="N23" s="4"/>
      <c r="O23" s="4"/>
      <c r="P23" s="4"/>
      <c r="Q23" s="4"/>
      <c r="R23" s="4"/>
      <c r="S23" s="4"/>
      <c r="T23" s="4"/>
      <c r="U23" s="4"/>
      <c r="V23" s="4"/>
      <c r="W23" s="4"/>
    </row>
    <row r="24">
      <c r="A24" s="5" t="s">
        <v>14</v>
      </c>
      <c r="B24" s="26">
        <f>'Data Entry'!D3</f>
        <v>1250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https://www.zillow.com/homedetails/26-Reid-St-UNIT-8-Marion-NC-28752/455785454_zpid/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62.0</v>
      </c>
      <c r="E2" s="34"/>
      <c r="F2" s="32" t="s">
        <v>15</v>
      </c>
      <c r="G2" s="35" t="s">
        <v>17</v>
      </c>
      <c r="H2" s="34"/>
      <c r="J2" s="36"/>
      <c r="K2" s="37"/>
    </row>
    <row r="3">
      <c r="B3" s="31"/>
      <c r="C3" s="38" t="s">
        <v>18</v>
      </c>
      <c r="D3" s="39">
        <v>1250.0</v>
      </c>
      <c r="E3" s="40"/>
      <c r="F3" s="31"/>
      <c r="G3" s="31"/>
      <c r="H3" s="41"/>
      <c r="J3" s="36"/>
      <c r="K3" s="37"/>
    </row>
    <row r="4">
      <c r="B4" s="42" t="s">
        <v>19</v>
      </c>
      <c r="C4" s="43" t="s">
        <v>20</v>
      </c>
      <c r="D4" s="43" t="s">
        <v>21</v>
      </c>
      <c r="E4" s="43" t="s">
        <v>22</v>
      </c>
      <c r="F4" s="43" t="s">
        <v>7</v>
      </c>
      <c r="G4" s="43" t="s">
        <v>8</v>
      </c>
      <c r="H4" s="44" t="s">
        <v>9</v>
      </c>
      <c r="J4" s="36" t="s">
        <v>4</v>
      </c>
      <c r="K4" s="37">
        <f>SUM(C5:C100)</f>
        <v>62</v>
      </c>
    </row>
    <row r="5">
      <c r="B5" s="45">
        <v>45878.0</v>
      </c>
      <c r="C5" s="31">
        <v>8.0</v>
      </c>
      <c r="D5" s="31">
        <v>2.0</v>
      </c>
      <c r="E5" s="31">
        <v>1.0</v>
      </c>
      <c r="F5" s="31">
        <v>1.0</v>
      </c>
      <c r="G5" s="46"/>
      <c r="H5" s="47" t="s">
        <v>23</v>
      </c>
      <c r="J5" s="36" t="s">
        <v>5</v>
      </c>
      <c r="K5" s="37">
        <f>SUM(D5:D100)</f>
        <v>25</v>
      </c>
    </row>
    <row r="6">
      <c r="B6" s="45">
        <v>45885.0</v>
      </c>
      <c r="C6" s="31">
        <v>8.0</v>
      </c>
      <c r="D6" s="31">
        <v>3.0</v>
      </c>
      <c r="E6" s="31">
        <v>2.0</v>
      </c>
      <c r="F6" s="31">
        <v>1.0</v>
      </c>
      <c r="G6" s="46"/>
      <c r="H6" s="47" t="s">
        <v>24</v>
      </c>
      <c r="J6" s="36" t="s">
        <v>6</v>
      </c>
      <c r="K6" s="37">
        <f>SUM(E:E)</f>
        <v>20</v>
      </c>
    </row>
    <row r="7">
      <c r="B7" s="45">
        <v>45892.0</v>
      </c>
      <c r="C7" s="31">
        <v>4.0</v>
      </c>
      <c r="D7" s="31">
        <v>0.0</v>
      </c>
      <c r="E7" s="31">
        <v>0.0</v>
      </c>
      <c r="F7" s="31">
        <v>0.0</v>
      </c>
      <c r="G7" s="46"/>
      <c r="H7" s="47" t="s">
        <v>25</v>
      </c>
      <c r="J7" s="36" t="s">
        <v>7</v>
      </c>
      <c r="K7" s="37">
        <f>SUM(F5:F100)</f>
        <v>12</v>
      </c>
    </row>
    <row r="8">
      <c r="B8" s="45">
        <v>45899.0</v>
      </c>
      <c r="C8" s="31">
        <v>5.0</v>
      </c>
      <c r="D8" s="31">
        <v>2.0</v>
      </c>
      <c r="E8" s="31">
        <v>2.0</v>
      </c>
      <c r="F8" s="31">
        <v>0.0</v>
      </c>
      <c r="G8" s="46"/>
      <c r="H8" s="48" t="s">
        <v>26</v>
      </c>
      <c r="J8" s="49" t="s">
        <v>8</v>
      </c>
      <c r="K8" s="37">
        <f>SUM(G5:G100)</f>
        <v>1</v>
      </c>
    </row>
    <row r="9">
      <c r="B9" s="45">
        <v>45911.0</v>
      </c>
      <c r="C9" s="31">
        <v>10.0</v>
      </c>
      <c r="D9" s="31">
        <v>4.0</v>
      </c>
      <c r="E9" s="31">
        <v>2.0</v>
      </c>
      <c r="F9" s="31">
        <v>2.0</v>
      </c>
      <c r="G9" s="31">
        <v>0.0</v>
      </c>
      <c r="H9" s="48" t="s">
        <v>27</v>
      </c>
      <c r="K9" s="37"/>
    </row>
    <row r="10">
      <c r="B10" s="45">
        <v>45916.0</v>
      </c>
      <c r="C10" s="31">
        <v>6.0</v>
      </c>
      <c r="D10" s="31">
        <v>2.0</v>
      </c>
      <c r="E10" s="31">
        <v>2.0</v>
      </c>
      <c r="F10" s="31">
        <v>2.0</v>
      </c>
      <c r="G10" s="31">
        <v>0.0</v>
      </c>
      <c r="H10" s="48" t="s">
        <v>28</v>
      </c>
      <c r="J10" s="30" t="s">
        <v>29</v>
      </c>
    </row>
    <row r="11">
      <c r="B11" s="45">
        <v>45923.0</v>
      </c>
      <c r="C11" s="31">
        <v>9.0</v>
      </c>
      <c r="D11" s="31">
        <v>5.0</v>
      </c>
      <c r="E11" s="31">
        <v>5.0</v>
      </c>
      <c r="F11" s="31">
        <v>4.0</v>
      </c>
      <c r="G11" s="31">
        <v>0.0</v>
      </c>
      <c r="H11" s="48" t="s">
        <v>30</v>
      </c>
      <c r="J11" s="36" t="s">
        <v>4</v>
      </c>
      <c r="K11" s="50">
        <f>AVERAGE(C5:C100)</f>
        <v>6.888888889</v>
      </c>
    </row>
    <row r="12">
      <c r="B12" s="45">
        <v>45930.0</v>
      </c>
      <c r="C12" s="31">
        <v>3.0</v>
      </c>
      <c r="D12" s="31">
        <v>2.0</v>
      </c>
      <c r="E12" s="31">
        <v>1.0</v>
      </c>
      <c r="F12" s="31">
        <v>1.0</v>
      </c>
      <c r="G12" s="31">
        <v>1.0</v>
      </c>
      <c r="H12" s="48" t="s">
        <v>31</v>
      </c>
      <c r="J12" s="36" t="s">
        <v>5</v>
      </c>
      <c r="K12" s="50">
        <f>AVERAGE(D5:D100)</f>
        <v>2.777777778</v>
      </c>
    </row>
    <row r="13">
      <c r="B13" s="45">
        <v>45937.0</v>
      </c>
      <c r="C13" s="31">
        <v>9.0</v>
      </c>
      <c r="D13" s="31">
        <v>5.0</v>
      </c>
      <c r="E13" s="31">
        <v>5.0</v>
      </c>
      <c r="F13" s="31">
        <v>1.0</v>
      </c>
      <c r="G13" s="31">
        <v>0.0</v>
      </c>
      <c r="H13" s="48" t="s">
        <v>32</v>
      </c>
      <c r="J13" s="36" t="s">
        <v>6</v>
      </c>
      <c r="K13" s="50">
        <f>AVERAGE(E5:E100)</f>
        <v>2.222222222</v>
      </c>
    </row>
    <row r="14">
      <c r="B14" s="51"/>
      <c r="C14" s="46"/>
      <c r="D14" s="46"/>
      <c r="E14" s="46"/>
      <c r="F14" s="46"/>
      <c r="G14" s="46"/>
      <c r="H14" s="52"/>
      <c r="J14" s="36" t="s">
        <v>7</v>
      </c>
      <c r="K14" s="50">
        <f>AVERAGE(F5:F100)</f>
        <v>1.333333333</v>
      </c>
    </row>
    <row r="15">
      <c r="B15" s="51"/>
      <c r="C15" s="46"/>
      <c r="D15" s="46"/>
      <c r="E15" s="46"/>
      <c r="F15" s="46"/>
      <c r="G15" s="46"/>
      <c r="H15" s="52"/>
      <c r="J15" s="49" t="s">
        <v>8</v>
      </c>
      <c r="K15" s="53">
        <f>AVERAGE(G5:G100)</f>
        <v>0.2</v>
      </c>
    </row>
    <row r="16">
      <c r="B16" s="51"/>
      <c r="C16" s="46"/>
      <c r="D16" s="46"/>
      <c r="E16" s="46"/>
      <c r="F16" s="46"/>
      <c r="G16" s="46"/>
      <c r="H16" s="52"/>
    </row>
    <row r="17">
      <c r="B17" s="51"/>
      <c r="C17" s="46"/>
      <c r="D17" s="46"/>
      <c r="E17" s="46"/>
      <c r="F17" s="46"/>
      <c r="G17" s="46"/>
      <c r="H17" s="52"/>
    </row>
    <row r="18">
      <c r="B18" s="51"/>
      <c r="C18" s="46"/>
      <c r="D18" s="46"/>
      <c r="E18" s="46"/>
      <c r="F18" s="46"/>
      <c r="G18" s="46"/>
      <c r="H18" s="52"/>
    </row>
    <row r="19">
      <c r="B19" s="51"/>
      <c r="C19" s="46"/>
      <c r="D19" s="46"/>
      <c r="E19" s="46"/>
      <c r="F19" s="46"/>
      <c r="G19" s="46"/>
      <c r="H19" s="52"/>
    </row>
    <row r="20">
      <c r="B20" s="51"/>
      <c r="C20" s="46"/>
      <c r="D20" s="46"/>
      <c r="E20" s="46"/>
      <c r="F20" s="46"/>
      <c r="G20" s="46"/>
      <c r="H20" s="52"/>
    </row>
    <row r="21">
      <c r="B21" s="51"/>
      <c r="C21" s="46"/>
      <c r="D21" s="46"/>
      <c r="E21" s="46"/>
      <c r="F21" s="46"/>
      <c r="G21" s="46"/>
      <c r="H21" s="52"/>
    </row>
    <row r="22">
      <c r="B22" s="51"/>
      <c r="C22" s="46"/>
      <c r="D22" s="46"/>
      <c r="E22" s="46"/>
      <c r="F22" s="46"/>
      <c r="G22" s="46"/>
      <c r="H22" s="52"/>
    </row>
    <row r="23">
      <c r="B23" s="51"/>
      <c r="C23" s="46"/>
      <c r="D23" s="46"/>
      <c r="E23" s="46"/>
      <c r="F23" s="46"/>
      <c r="G23" s="46"/>
      <c r="H23" s="52"/>
    </row>
    <row r="24">
      <c r="B24" s="51"/>
      <c r="C24" s="46"/>
      <c r="D24" s="46"/>
      <c r="E24" s="46"/>
      <c r="F24" s="46"/>
      <c r="G24" s="46"/>
      <c r="H24" s="52"/>
    </row>
    <row r="25">
      <c r="B25" s="51"/>
      <c r="C25" s="46"/>
      <c r="D25" s="46"/>
      <c r="E25" s="46"/>
      <c r="F25" s="46"/>
      <c r="G25" s="46"/>
      <c r="H25" s="52"/>
    </row>
    <row r="26">
      <c r="B26" s="51"/>
      <c r="C26" s="46"/>
      <c r="D26" s="46"/>
      <c r="E26" s="46"/>
      <c r="F26" s="46"/>
      <c r="G26" s="46"/>
      <c r="H26" s="52"/>
    </row>
    <row r="27">
      <c r="B27" s="51"/>
      <c r="C27" s="46"/>
      <c r="D27" s="46"/>
      <c r="E27" s="46"/>
      <c r="F27" s="46"/>
      <c r="G27" s="46"/>
      <c r="H27" s="52"/>
    </row>
    <row r="28">
      <c r="B28" s="51"/>
      <c r="C28" s="46"/>
      <c r="D28" s="46"/>
      <c r="E28" s="46"/>
      <c r="F28" s="46"/>
      <c r="G28" s="46"/>
      <c r="H28" s="52"/>
    </row>
    <row r="29">
      <c r="B29" s="51"/>
      <c r="C29" s="46"/>
      <c r="D29" s="46"/>
      <c r="E29" s="46"/>
      <c r="F29" s="46"/>
      <c r="G29" s="46"/>
      <c r="H29" s="52"/>
    </row>
    <row r="30">
      <c r="B30" s="51"/>
      <c r="C30" s="46"/>
      <c r="D30" s="46"/>
      <c r="E30" s="46"/>
      <c r="F30" s="46"/>
      <c r="G30" s="46"/>
      <c r="H30" s="52"/>
    </row>
    <row r="31">
      <c r="B31" s="46"/>
      <c r="C31" s="46"/>
      <c r="D31" s="46"/>
      <c r="E31" s="46"/>
      <c r="F31" s="46"/>
      <c r="G31" s="46"/>
      <c r="H31" s="54"/>
    </row>
    <row r="32">
      <c r="B32" s="46"/>
      <c r="C32" s="46"/>
      <c r="D32" s="46"/>
      <c r="E32" s="46"/>
      <c r="F32" s="46"/>
      <c r="G32" s="46"/>
      <c r="H32" s="54"/>
    </row>
    <row r="33">
      <c r="B33" s="46"/>
      <c r="C33" s="46"/>
      <c r="D33" s="46"/>
      <c r="E33" s="46"/>
      <c r="F33" s="46"/>
      <c r="G33" s="46"/>
      <c r="H33" s="54"/>
    </row>
    <row r="34">
      <c r="B34" s="46"/>
      <c r="C34" s="46"/>
      <c r="D34" s="46"/>
      <c r="E34" s="46"/>
      <c r="F34" s="46"/>
      <c r="G34" s="46"/>
      <c r="H34" s="54"/>
    </row>
    <row r="35">
      <c r="B35" s="46"/>
      <c r="C35" s="46"/>
      <c r="D35" s="46"/>
      <c r="E35" s="46"/>
      <c r="F35" s="46"/>
      <c r="G35" s="46"/>
      <c r="H35" s="54"/>
    </row>
    <row r="36">
      <c r="B36" s="46"/>
      <c r="C36" s="46"/>
      <c r="D36" s="46"/>
      <c r="E36" s="46"/>
      <c r="F36" s="46"/>
      <c r="G36" s="46"/>
      <c r="H36" s="54"/>
    </row>
    <row r="37">
      <c r="B37" s="46"/>
      <c r="C37" s="46"/>
      <c r="D37" s="46"/>
      <c r="E37" s="46"/>
      <c r="F37" s="46"/>
      <c r="G37" s="46"/>
      <c r="H37" s="54"/>
    </row>
    <row r="38">
      <c r="B38" s="46"/>
      <c r="C38" s="46"/>
      <c r="D38" s="46"/>
      <c r="E38" s="46"/>
      <c r="F38" s="46"/>
      <c r="G38" s="46"/>
      <c r="H38" s="54"/>
    </row>
    <row r="39">
      <c r="B39" s="46"/>
      <c r="C39" s="46"/>
      <c r="D39" s="46"/>
      <c r="E39" s="46"/>
      <c r="F39" s="46"/>
      <c r="G39" s="46"/>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