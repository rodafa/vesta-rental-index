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<sst xmlns="http://schemas.openxmlformats.org/spreadsheetml/2006/main" count="47" uniqueCount="25">
  <si>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</si>
  <si>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</si>
  <si>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</si>
  <si>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</si>
  <si>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</si>
  <si>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</si>
  <si>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</si>
  <si>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</si>
  <si>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</si>
  <si>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</si>
  <si>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</si>
  <si>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</si>
  <si>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</si>
  <si>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</si>
  <si>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</si>
  <si>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</si>
  <si>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22 Greenly Ln</t>
  </si>
  <si>
    <t>https://www.zillow.com/homedetails/22-Greenly-Ln-Fletcher-NC-28732/339755418_zpid/</t>
  </si>
  <si>
    <t>Current List Price</t>
  </si>
  <si>
    <t>Week Ending In</t>
  </si>
  <si>
    <t>No. Leads</t>
  </si>
  <si>
    <t>Pre-Qualified Leads</t>
  </si>
  <si>
    <t>Scheduled Showngs</t>
  </si>
  <si>
    <t xml:space="preserve">Due to a change in our scheduling software some of the metrics may not be accurate, but starting next week we will be fully integrated into the new system. 
We are showing the property tomorrow to a woman who has already been approved, and we hope the lease will be signed by the end of the week if all goes well.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</si>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</sst>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24" fillId="0" fontId="9" numFmtId="0" xfId="0" applyAlignment="1" applyBorder="1" applyFont="1">
      <alignment horizontal="left" readingOrder="0" shrinkToFit="0" wrapText="1"/>
    </xf>
    <xf borderId="0" fillId="0" fontId="9" numFmtId="0" xfId="0" applyAlignment="1" applyFont="1">
      <alignment horizontal="center"/>
    </xf>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13" numFmtId="0" xfId="0" applyAlignment="1" applyFont="1">
      <alignment readingOrder="0"/>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2-Greenly-Ln-Fletcher-NC-28732/339755418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22 Greenly Ln</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14,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18</v>
      </c>
      <c r="C6" s="12" t="str">
        <f>IFERROR(__xludf.DUMMYFUNCTION("IF(COUNTUNIQUE('Data Entry'!B:B)&lt;2, """", TEXT(XLOOKUP(MAX('Data Entry'!B:B), 'Data Entry'!B:B, 'Data Entry'!C:C, 0, FALSE, -1) - IFERROR(XLOOKUP(LARGE(UNIQUE('Data Entry'!B:B), 2), 'Data Entry'!B:B, 'Data Entry'!C:C, 0, FALSE, -1), 0), ""+0;-0;0""))"),"+18")</f>
        <v>+18</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6</v>
      </c>
      <c r="C7" s="12" t="str">
        <f>IFERROR(__xludf.DUMMYFUNCTION("IF(COUNTUNIQUE('Data Entry'!B:B)&lt;2, """", TEXT(XLOOKUP(MAX('Data Entry'!B:B), 'Data Entry'!B:B, 'Data Entry'!D:D, 0, FALSE, -1) - IFERROR(XLOOKUP(LARGE(UNIQUE('Data Entry'!B:B), 2), 'Data Entry'!B:B, 'Data Entry'!D:D, 0, FALSE, -1), 0), ""+0;-0;0""))"),"+6")</f>
        <v>+6</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2</v>
      </c>
      <c r="C8" s="12" t="str">
        <f>IFERROR(__xludf.DUMMYFUNCTION("IF(COUNTUNIQUE('Data Entry'!B:B)&lt;2, """", TEXT(XLOOKUP(MAX('Data Entry'!B:B), 'Data Entry'!B:B, 'Data Entry'!E:E, 0, FALSE, -1) - IFERROR(XLOOKUP(LARGE(UNIQUE('Data Entry'!B:B), 2), 'Data Entry'!B:B, 'Data Entry'!E:E, 0, FALSE, -1), 0), ""+0;-0;0""))"),"+2")</f>
        <v>+2</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""+0;-0;0""))"),"+1")</f>
        <v>+1</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""+0;-0;0""))"),"+1")</f>
        <v>+1</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Due to a change in our scheduling software some of the metrics may not be accurate, but starting next week we will be fully integrated into the new system. 
We are showing the property tomorrow to a woman who has already been approved, and we hope the lease will be signed by the end of the week if all goes well.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18</v>
      </c>
      <c r="C18" s="24">
        <f>'Data Entry'!K11</f>
        <v>18</v>
      </c>
      <c r="D18" s="7"/>
      <c r="E18" s="7"/>
      <c r="F18" s="4"/>
      <c r="G18" s="4"/>
      <c r="H18" s="4"/>
      <c r="I18" s="4"/>
      <c r="J18" s="4"/>
      <c r="K18" s="4"/>
      <c r="L18" s="4"/>
      <c r="M18" s="4"/>
      <c r="N18" s="4"/>
      <c r="O18" s="4"/>
      <c r="P18" s="4"/>
      <c r="Q18" s="4"/>
      <c r="R18" s="4"/>
      <c r="S18" s="4"/>
      <c r="T18" s="4"/>
      <c r="U18" s="4"/>
      <c r="V18" s="4"/>
      <c r="W18" s="4"/>
    </row>
    <row r="19">
      <c r="A19" s="5" t="s">
        <v>5</v>
      </c>
      <c r="B19" s="23">
        <f>'Data Entry'!K5</f>
        <v>6</v>
      </c>
      <c r="C19" s="24">
        <f>'Data Entry'!K12</f>
        <v>6</v>
      </c>
      <c r="D19" s="7"/>
      <c r="E19" s="7"/>
      <c r="F19" s="4"/>
      <c r="G19" s="4"/>
      <c r="H19" s="4"/>
      <c r="I19" s="4"/>
      <c r="J19" s="4"/>
      <c r="K19" s="4"/>
      <c r="L19" s="4"/>
      <c r="M19" s="4"/>
      <c r="N19" s="4"/>
      <c r="O19" s="4"/>
      <c r="P19" s="4"/>
      <c r="Q19" s="4"/>
      <c r="R19" s="4"/>
      <c r="S19" s="4"/>
      <c r="T19" s="4"/>
      <c r="U19" s="4"/>
      <c r="V19" s="4"/>
      <c r="W19" s="4"/>
    </row>
    <row r="20">
      <c r="A20" s="5" t="s">
        <v>6</v>
      </c>
      <c r="B20" s="23">
        <f>'Data Entry'!K6</f>
        <v>2</v>
      </c>
      <c r="C20" s="24">
        <f>'Data Entry'!K13</f>
        <v>2</v>
      </c>
      <c r="D20" s="7"/>
      <c r="E20" s="7"/>
      <c r="F20" s="4"/>
      <c r="G20" s="4"/>
      <c r="H20" s="4"/>
      <c r="I20" s="4"/>
      <c r="J20" s="4"/>
      <c r="K20" s="4"/>
      <c r="L20" s="4"/>
      <c r="M20" s="4"/>
      <c r="N20" s="4"/>
      <c r="O20" s="4"/>
      <c r="P20" s="4"/>
      <c r="Q20" s="4"/>
      <c r="R20" s="4"/>
      <c r="S20" s="4"/>
      <c r="T20" s="4"/>
      <c r="U20" s="4"/>
      <c r="V20" s="4"/>
      <c r="W20" s="4"/>
    </row>
    <row r="21">
      <c r="A21" s="5" t="s">
        <v>7</v>
      </c>
      <c r="B21" s="23">
        <f>'Data Entry'!K7</f>
        <v>1</v>
      </c>
      <c r="C21" s="24">
        <f>'Data Entry'!K14</f>
        <v>1</v>
      </c>
      <c r="D21" s="7"/>
      <c r="E21" s="7"/>
      <c r="F21" s="4"/>
      <c r="G21" s="4"/>
      <c r="H21" s="4"/>
      <c r="I21" s="4"/>
      <c r="J21" s="4"/>
      <c r="K21" s="4"/>
      <c r="L21" s="4"/>
      <c r="M21" s="4"/>
      <c r="N21" s="4"/>
      <c r="O21" s="4"/>
      <c r="P21" s="4"/>
      <c r="Q21" s="4"/>
      <c r="R21" s="4"/>
      <c r="S21" s="4"/>
      <c r="T21" s="4"/>
      <c r="U21" s="4"/>
      <c r="V21" s="4"/>
      <c r="W21" s="4"/>
    </row>
    <row r="22">
      <c r="A22" s="5" t="s">
        <v>8</v>
      </c>
      <c r="B22" s="23">
        <f>'Data Entry'!K8</f>
        <v>1</v>
      </c>
      <c r="C22" s="23">
        <f>'Data Entry'!K15</f>
        <v>1</v>
      </c>
      <c r="D22" s="7"/>
      <c r="E22" s="7"/>
      <c r="F22" s="4"/>
      <c r="G22" s="4"/>
      <c r="H22" s="4"/>
      <c r="I22" s="4"/>
      <c r="J22" s="4"/>
      <c r="K22" s="4"/>
      <c r="L22" s="4"/>
      <c r="M22" s="4"/>
      <c r="N22" s="4"/>
      <c r="O22" s="4"/>
      <c r="P22" s="4"/>
      <c r="Q22" s="4"/>
      <c r="R22" s="4"/>
      <c r="S22" s="4"/>
      <c r="T22" s="4"/>
      <c r="U22" s="4"/>
      <c r="V22" s="4"/>
      <c r="W22" s="4"/>
    </row>
    <row r="23">
      <c r="A23" s="13" t="s">
        <v>13</v>
      </c>
      <c r="B23" s="25">
        <f>'Data Entry'!D2</f>
        <v>5</v>
      </c>
      <c r="C23" s="3"/>
      <c r="D23" s="7"/>
      <c r="E23" s="7"/>
      <c r="F23" s="4"/>
      <c r="G23" s="4"/>
      <c r="H23" s="4"/>
      <c r="I23" s="4"/>
      <c r="J23" s="4"/>
      <c r="K23" s="4"/>
      <c r="L23" s="4"/>
      <c r="M23" s="4"/>
      <c r="N23" s="4"/>
      <c r="O23" s="4"/>
      <c r="P23" s="4"/>
      <c r="Q23" s="4"/>
      <c r="R23" s="4"/>
      <c r="S23" s="4"/>
      <c r="T23" s="4"/>
      <c r="U23" s="4"/>
      <c r="V23" s="4"/>
      <c r="W23" s="4"/>
    </row>
    <row r="24">
      <c r="A24" s="5" t="s">
        <v>14</v>
      </c>
      <c r="B24" s="26">
        <f>'Data Entry'!D3</f>
        <v>1900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https://www.zillow.com/homedetails/22-Greenly-Ln-Fletcher-NC-28732/339755418_zpid/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5.0</v>
      </c>
      <c r="E2" s="34"/>
      <c r="F2" s="32" t="s">
        <v>15</v>
      </c>
      <c r="G2" s="35" t="s">
        <v>17</v>
      </c>
      <c r="H2" s="34"/>
      <c r="J2" s="36"/>
      <c r="K2" s="37"/>
    </row>
    <row r="3">
      <c r="B3" s="31"/>
      <c r="C3" s="38" t="s">
        <v>18</v>
      </c>
      <c r="D3" s="39">
        <v>1900.0</v>
      </c>
      <c r="E3" s="40"/>
      <c r="F3" s="31"/>
      <c r="G3" s="31"/>
      <c r="H3" s="41"/>
      <c r="J3" s="36"/>
      <c r="K3" s="37"/>
    </row>
    <row r="4">
      <c r="B4" s="42" t="s">
        <v>19</v>
      </c>
      <c r="C4" s="43" t="s">
        <v>20</v>
      </c>
      <c r="D4" s="43" t="s">
        <v>21</v>
      </c>
      <c r="E4" s="43" t="s">
        <v>22</v>
      </c>
      <c r="F4" s="43" t="s">
        <v>7</v>
      </c>
      <c r="G4" s="43" t="s">
        <v>8</v>
      </c>
      <c r="H4" s="44" t="s">
        <v>9</v>
      </c>
      <c r="J4" s="36" t="s">
        <v>4</v>
      </c>
      <c r="K4" s="37">
        <f>SUM(C5:C100)</f>
        <v>18</v>
      </c>
    </row>
    <row r="5">
      <c r="B5" s="45">
        <v>45944.0</v>
      </c>
      <c r="C5" s="31">
        <v>18.0</v>
      </c>
      <c r="D5" s="31">
        <v>6.0</v>
      </c>
      <c r="E5" s="31">
        <v>2.0</v>
      </c>
      <c r="F5" s="31">
        <v>1.0</v>
      </c>
      <c r="G5" s="31">
        <v>1.0</v>
      </c>
      <c r="H5" s="46" t="s">
        <v>23</v>
      </c>
      <c r="J5" s="36" t="s">
        <v>5</v>
      </c>
      <c r="K5" s="37">
        <f>SUM(D5:D100)</f>
        <v>6</v>
      </c>
    </row>
    <row r="6">
      <c r="B6" s="45"/>
      <c r="C6" s="47"/>
      <c r="D6" s="47"/>
      <c r="E6" s="47"/>
      <c r="F6" s="47"/>
      <c r="G6" s="47"/>
      <c r="H6" s="46"/>
      <c r="J6" s="36" t="s">
        <v>6</v>
      </c>
      <c r="K6" s="37">
        <f>SUM(E:E)</f>
        <v>2</v>
      </c>
    </row>
    <row r="7">
      <c r="B7" s="48"/>
      <c r="C7" s="47"/>
      <c r="D7" s="47"/>
      <c r="E7" s="47"/>
      <c r="F7" s="47"/>
      <c r="G7" s="47"/>
      <c r="H7" s="49"/>
      <c r="J7" s="36" t="s">
        <v>7</v>
      </c>
      <c r="K7" s="37">
        <f>SUM(F5:F100)</f>
        <v>1</v>
      </c>
    </row>
    <row r="8">
      <c r="B8" s="48"/>
      <c r="C8" s="47"/>
      <c r="D8" s="47"/>
      <c r="E8" s="47"/>
      <c r="F8" s="47"/>
      <c r="G8" s="47"/>
      <c r="H8" s="49"/>
      <c r="J8" s="50" t="s">
        <v>8</v>
      </c>
      <c r="K8" s="37">
        <f>SUM(G5:G100)</f>
        <v>1</v>
      </c>
    </row>
    <row r="9">
      <c r="B9" s="48"/>
      <c r="C9" s="47"/>
      <c r="D9" s="47"/>
      <c r="E9" s="47"/>
      <c r="F9" s="47"/>
      <c r="G9" s="47"/>
      <c r="H9" s="49"/>
      <c r="K9" s="37"/>
    </row>
    <row r="10">
      <c r="B10" s="48"/>
      <c r="C10" s="47"/>
      <c r="D10" s="47"/>
      <c r="E10" s="47"/>
      <c r="F10" s="47"/>
      <c r="G10" s="47"/>
      <c r="H10" s="49"/>
      <c r="J10" s="30" t="s">
        <v>24</v>
      </c>
    </row>
    <row r="11">
      <c r="B11" s="48"/>
      <c r="C11" s="47"/>
      <c r="D11" s="47"/>
      <c r="E11" s="47"/>
      <c r="F11" s="47"/>
      <c r="G11" s="47"/>
      <c r="H11" s="49"/>
      <c r="J11" s="36" t="s">
        <v>4</v>
      </c>
      <c r="K11" s="51">
        <f>AVERAGE(C5:C100)</f>
        <v>18</v>
      </c>
    </row>
    <row r="12">
      <c r="B12" s="48"/>
      <c r="C12" s="47"/>
      <c r="D12" s="47"/>
      <c r="E12" s="47"/>
      <c r="F12" s="47"/>
      <c r="G12" s="47"/>
      <c r="H12" s="49"/>
      <c r="J12" s="36" t="s">
        <v>5</v>
      </c>
      <c r="K12" s="51">
        <f>AVERAGE(D5:D100)</f>
        <v>6</v>
      </c>
    </row>
    <row r="13">
      <c r="B13" s="48"/>
      <c r="C13" s="47"/>
      <c r="D13" s="47"/>
      <c r="E13" s="47"/>
      <c r="F13" s="47"/>
      <c r="G13" s="47"/>
      <c r="H13" s="49"/>
      <c r="J13" s="36" t="s">
        <v>6</v>
      </c>
      <c r="K13" s="51">
        <f>AVERAGE(E5:E100)</f>
        <v>2</v>
      </c>
    </row>
    <row r="14">
      <c r="B14" s="48"/>
      <c r="C14" s="47"/>
      <c r="D14" s="47"/>
      <c r="E14" s="47"/>
      <c r="F14" s="47"/>
      <c r="G14" s="47"/>
      <c r="H14" s="49"/>
      <c r="J14" s="36" t="s">
        <v>7</v>
      </c>
      <c r="K14" s="51">
        <f>AVERAGE(F5:F100)</f>
        <v>1</v>
      </c>
    </row>
    <row r="15">
      <c r="B15" s="48"/>
      <c r="C15" s="47"/>
      <c r="D15" s="47"/>
      <c r="E15" s="47"/>
      <c r="F15" s="47"/>
      <c r="G15" s="47"/>
      <c r="H15" s="49"/>
      <c r="J15" s="50" t="s">
        <v>8</v>
      </c>
      <c r="K15" s="52">
        <f>AVERAGE(G5:G100)</f>
        <v>1</v>
      </c>
    </row>
    <row r="16">
      <c r="B16" s="48"/>
      <c r="C16" s="47"/>
      <c r="D16" s="47"/>
      <c r="E16" s="47"/>
      <c r="F16" s="47"/>
      <c r="G16" s="47"/>
      <c r="H16" s="49"/>
    </row>
    <row r="17">
      <c r="B17" s="48"/>
      <c r="C17" s="47"/>
      <c r="D17" s="47"/>
      <c r="E17" s="47"/>
      <c r="F17" s="47"/>
      <c r="G17" s="47"/>
      <c r="H17" s="49"/>
    </row>
    <row r="18">
      <c r="B18" s="48"/>
      <c r="C18" s="47"/>
      <c r="D18" s="47"/>
      <c r="E18" s="47"/>
      <c r="F18" s="47"/>
      <c r="G18" s="47"/>
      <c r="H18" s="49"/>
    </row>
    <row r="19">
      <c r="B19" s="48"/>
      <c r="C19" s="47"/>
      <c r="D19" s="47"/>
      <c r="E19" s="47"/>
      <c r="F19" s="47"/>
      <c r="G19" s="47"/>
      <c r="H19" s="49"/>
    </row>
    <row r="20">
      <c r="B20" s="48"/>
      <c r="C20" s="47"/>
      <c r="D20" s="47"/>
      <c r="E20" s="47"/>
      <c r="F20" s="47"/>
      <c r="G20" s="47"/>
      <c r="H20" s="49"/>
    </row>
    <row r="21">
      <c r="B21" s="48"/>
      <c r="C21" s="47"/>
      <c r="D21" s="47"/>
      <c r="E21" s="47"/>
      <c r="F21" s="47"/>
      <c r="G21" s="47"/>
      <c r="H21" s="49"/>
    </row>
    <row r="22">
      <c r="B22" s="48"/>
      <c r="C22" s="47"/>
      <c r="D22" s="47"/>
      <c r="E22" s="47"/>
      <c r="F22" s="47"/>
      <c r="G22" s="47"/>
      <c r="H22" s="49"/>
    </row>
    <row r="23">
      <c r="B23" s="48"/>
      <c r="C23" s="47"/>
      <c r="D23" s="47"/>
      <c r="E23" s="47"/>
      <c r="F23" s="47"/>
      <c r="G23" s="47"/>
      <c r="H23" s="49"/>
    </row>
    <row r="24">
      <c r="B24" s="48"/>
      <c r="C24" s="47"/>
      <c r="D24" s="47"/>
      <c r="E24" s="47"/>
      <c r="F24" s="47"/>
      <c r="G24" s="47"/>
      <c r="H24" s="49"/>
    </row>
    <row r="25">
      <c r="B25" s="48"/>
      <c r="C25" s="47"/>
      <c r="D25" s="47"/>
      <c r="E25" s="47"/>
      <c r="F25" s="47"/>
      <c r="G25" s="47"/>
      <c r="H25" s="49"/>
    </row>
    <row r="26">
      <c r="B26" s="48"/>
      <c r="C26" s="47"/>
      <c r="D26" s="47"/>
      <c r="E26" s="47"/>
      <c r="F26" s="47"/>
      <c r="G26" s="47"/>
      <c r="H26" s="49"/>
    </row>
    <row r="27">
      <c r="B27" s="48"/>
      <c r="C27" s="47"/>
      <c r="D27" s="47"/>
      <c r="E27" s="47"/>
      <c r="F27" s="47"/>
      <c r="G27" s="47"/>
      <c r="H27" s="49"/>
    </row>
    <row r="28">
      <c r="B28" s="48"/>
      <c r="C28" s="47"/>
      <c r="D28" s="47"/>
      <c r="E28" s="47"/>
      <c r="F28" s="47"/>
      <c r="G28" s="47"/>
      <c r="H28" s="49"/>
    </row>
    <row r="29">
      <c r="B29" s="48"/>
      <c r="C29" s="47"/>
      <c r="D29" s="47"/>
      <c r="E29" s="47"/>
      <c r="F29" s="47"/>
      <c r="G29" s="47"/>
      <c r="H29" s="49"/>
    </row>
    <row r="30">
      <c r="B30" s="48"/>
      <c r="C30" s="47"/>
      <c r="D30" s="47"/>
      <c r="E30" s="47"/>
      <c r="F30" s="47"/>
      <c r="G30" s="47"/>
      <c r="H30" s="49"/>
    </row>
    <row r="31">
      <c r="B31" s="47"/>
      <c r="C31" s="47"/>
      <c r="D31" s="47"/>
      <c r="E31" s="47"/>
      <c r="F31" s="47"/>
      <c r="G31" s="47"/>
      <c r="H31" s="53"/>
    </row>
    <row r="32">
      <c r="B32" s="47"/>
      <c r="C32" s="47"/>
      <c r="D32" s="47"/>
      <c r="E32" s="47"/>
      <c r="F32" s="47"/>
      <c r="G32" s="47"/>
      <c r="H32" s="53"/>
    </row>
    <row r="33">
      <c r="B33" s="47"/>
      <c r="C33" s="47"/>
      <c r="D33" s="47"/>
      <c r="E33" s="47"/>
      <c r="F33" s="47"/>
      <c r="G33" s="47"/>
      <c r="H33" s="53"/>
    </row>
    <row r="34">
      <c r="B34" s="47"/>
      <c r="C34" s="47"/>
      <c r="D34" s="47"/>
      <c r="E34" s="47"/>
      <c r="F34" s="47"/>
      <c r="G34" s="47"/>
      <c r="H34" s="53"/>
    </row>
    <row r="35">
      <c r="B35" s="47"/>
      <c r="C35" s="47"/>
      <c r="D35" s="47"/>
      <c r="E35" s="47"/>
      <c r="F35" s="47"/>
      <c r="G35" s="47"/>
      <c r="H35" s="53"/>
    </row>
    <row r="36">
      <c r="B36" s="47"/>
      <c r="C36" s="47"/>
      <c r="D36" s="47"/>
      <c r="E36" s="47"/>
      <c r="F36" s="47"/>
      <c r="G36" s="47"/>
      <c r="H36" s="53"/>
    </row>
    <row r="37">
      <c r="B37" s="47"/>
      <c r="C37" s="47"/>
      <c r="D37" s="47"/>
      <c r="E37" s="47"/>
      <c r="F37" s="47"/>
      <c r="G37" s="47"/>
      <c r="H37" s="53"/>
    </row>
    <row r="38">
      <c r="B38" s="47"/>
      <c r="C38" s="47"/>
      <c r="D38" s="47"/>
      <c r="E38" s="47"/>
      <c r="F38" s="47"/>
      <c r="G38" s="47"/>
      <c r="H38" s="53"/>
    </row>
    <row r="39">
      <c r="B39" s="47"/>
      <c r="C39" s="47"/>
      <c r="D39" s="47"/>
      <c r="E39" s="47"/>
      <c r="F39" s="47"/>
      <c r="G39" s="47"/>
      <c r="H39" s="53"/>
    </row>
    <row r="40">
      <c r="H40" s="53"/>
    </row>
    <row r="41">
      <c r="H41" s="53"/>
    </row>
    <row r="42">
      <c r="H42" s="53"/>
    </row>
    <row r="43">
      <c r="H43" s="53"/>
    </row>
    <row r="44">
      <c r="H44" s="54"/>
    </row>
    <row r="45">
      <c r="H45" s="54"/>
    </row>
    <row r="46">
      <c r="H46" s="54"/>
    </row>
    <row r="47">
      <c r="H47" s="54"/>
    </row>
    <row r="48">
      <c r="H48" s="54"/>
    </row>
    <row r="49">
      <c r="H49" s="54"/>
    </row>
    <row r="50">
      <c r="H50" s="54"/>
    </row>
    <row r="51">
      <c r="H51" s="54"/>
    </row>
    <row r="52">
      <c r="H52" s="54"/>
    </row>
    <row r="53">
      <c r="H53" s="54"/>
    </row>
    <row r="54">
      <c r="H54" s="54"/>
    </row>
    <row r="55">
      <c r="H55" s="54"/>
    </row>
    <row r="56">
      <c r="H56" s="54"/>
    </row>
    <row r="57">
      <c r="H57" s="54"/>
    </row>
    <row r="58">
      <c r="H58" s="54"/>
    </row>
    <row r="59">
      <c r="H59" s="54"/>
    </row>
    <row r="60">
      <c r="H60" s="54"/>
    </row>
    <row r="61">
      <c r="H61" s="54"/>
    </row>
    <row r="62">
      <c r="H62" s="54"/>
    </row>
    <row r="63">
      <c r="H63" s="54"/>
    </row>
    <row r="64">
      <c r="H64" s="54"/>
    </row>
    <row r="65">
      <c r="H65" s="54"/>
    </row>
    <row r="66">
      <c r="H66" s="54"/>
    </row>
    <row r="67">
      <c r="H67" s="54"/>
    </row>
    <row r="68">
      <c r="H68" s="54"/>
    </row>
    <row r="69">
      <c r="H69" s="54"/>
    </row>
    <row r="70">
      <c r="H70" s="54"/>
    </row>
    <row r="71">
      <c r="H71" s="54"/>
    </row>
    <row r="72">
      <c r="H72" s="54"/>
    </row>
    <row r="73">
      <c r="H73" s="54"/>
    </row>
    <row r="74">
      <c r="H74" s="54"/>
    </row>
    <row r="75">
      <c r="H75" s="54"/>
    </row>
    <row r="76">
      <c r="H76" s="54"/>
    </row>
    <row r="77">
      <c r="H77" s="54"/>
    </row>
    <row r="78">
      <c r="H78" s="54"/>
    </row>
    <row r="79">
      <c r="H79" s="54"/>
    </row>
    <row r="80">
      <c r="H80" s="54"/>
    </row>
    <row r="81">
      <c r="H81" s="54"/>
    </row>
    <row r="82">
      <c r="H82" s="54"/>
    </row>
    <row r="83">
      <c r="H83" s="54"/>
    </row>
    <row r="84">
      <c r="H84" s="54"/>
    </row>
    <row r="85">
      <c r="H85" s="54"/>
    </row>
    <row r="86">
      <c r="H86" s="54"/>
    </row>
    <row r="87">
      <c r="H87" s="54"/>
    </row>
    <row r="88">
      <c r="H88" s="54"/>
    </row>
    <row r="89">
      <c r="H89" s="54"/>
    </row>
    <row r="90">
      <c r="H90" s="54"/>
    </row>
    <row r="91">
      <c r="H91" s="54"/>
    </row>
    <row r="92">
      <c r="H92" s="54"/>
    </row>
    <row r="93">
      <c r="H93" s="54"/>
    </row>
    <row r="94">
      <c r="H94" s="54"/>
    </row>
    <row r="95">
      <c r="H95" s="54"/>
    </row>
    <row r="96">
      <c r="H96" s="54"/>
    </row>
    <row r="97">
      <c r="H97" s="54"/>
    </row>
    <row r="98">
      <c r="H98" s="54"/>
    </row>
    <row r="99">
      <c r="H99" s="54"/>
    </row>
    <row r="100">
      <c r="H100" s="54"/>
    </row>
    <row r="101">
      <c r="H101" s="54"/>
    </row>
    <row r="102">
      <c r="H102" s="54"/>
    </row>
    <row r="103">
      <c r="H103" s="54"/>
    </row>
    <row r="104">
      <c r="H104" s="54"/>
    </row>
    <row r="105">
      <c r="H105" s="54"/>
    </row>
    <row r="106">
      <c r="H106" s="54"/>
    </row>
    <row r="107">
      <c r="H107" s="54"/>
    </row>
    <row r="108">
      <c r="H108" s="54"/>
    </row>
    <row r="109">
      <c r="H109" s="54"/>
    </row>
    <row r="110">
      <c r="H110" s="54"/>
    </row>
    <row r="111">
      <c r="H111" s="54"/>
    </row>
    <row r="112">
      <c r="H112" s="54"/>
    </row>
    <row r="113">
      <c r="H113" s="54"/>
    </row>
    <row r="114">
      <c r="H114" s="54"/>
    </row>
    <row r="115">
      <c r="H115" s="54"/>
    </row>
    <row r="116">
      <c r="H116" s="54"/>
    </row>
    <row r="117">
      <c r="H117" s="54"/>
    </row>
    <row r="118">
      <c r="H118" s="54"/>
    </row>
    <row r="119">
      <c r="H119" s="54"/>
    </row>
    <row r="120">
      <c r="H120" s="54"/>
    </row>
    <row r="121">
      <c r="H121" s="54"/>
    </row>
    <row r="122">
      <c r="H122" s="54"/>
    </row>
    <row r="123">
      <c r="H123" s="54"/>
    </row>
    <row r="124">
      <c r="H124" s="54"/>
    </row>
    <row r="125">
      <c r="H125" s="54"/>
    </row>
    <row r="126">
      <c r="H126" s="54"/>
    </row>
    <row r="127">
      <c r="H127" s="54"/>
    </row>
    <row r="128">
      <c r="H128" s="54"/>
    </row>
    <row r="129">
      <c r="H129" s="54"/>
    </row>
    <row r="130">
      <c r="H130" s="54"/>
    </row>
    <row r="131">
      <c r="H131" s="54"/>
    </row>
    <row r="132">
      <c r="H132" s="54"/>
    </row>
    <row r="133">
      <c r="H133" s="54"/>
    </row>
    <row r="134">
      <c r="H134" s="54"/>
    </row>
    <row r="135">
      <c r="H135" s="54"/>
    </row>
    <row r="136">
      <c r="H136" s="54"/>
    </row>
    <row r="137">
      <c r="H137" s="54"/>
    </row>
    <row r="138">
      <c r="H138" s="54"/>
    </row>
    <row r="139">
      <c r="H139" s="54"/>
    </row>
    <row r="140">
      <c r="H140" s="54"/>
    </row>
    <row r="141">
      <c r="H141" s="54"/>
    </row>
    <row r="142">
      <c r="H142" s="54"/>
    </row>
    <row r="143">
      <c r="H143" s="54"/>
    </row>
    <row r="144">
      <c r="H144" s="54"/>
    </row>
    <row r="145">
      <c r="H145" s="54"/>
    </row>
    <row r="146">
      <c r="H146" s="54"/>
    </row>
    <row r="147">
      <c r="H147" s="54"/>
    </row>
    <row r="148">
      <c r="H148" s="54"/>
    </row>
    <row r="149">
      <c r="H149" s="54"/>
    </row>
    <row r="150">
      <c r="H150" s="54"/>
    </row>
    <row r="151">
      <c r="H151" s="54"/>
    </row>
    <row r="152">
      <c r="H152" s="54"/>
    </row>
    <row r="153">
      <c r="H153" s="54"/>
    </row>
    <row r="154">
      <c r="H154" s="54"/>
    </row>
    <row r="155">
      <c r="H155" s="54"/>
    </row>
    <row r="156">
      <c r="H156" s="54"/>
    </row>
    <row r="157">
      <c r="H157" s="54"/>
    </row>
    <row r="158">
      <c r="H158" s="54"/>
    </row>
    <row r="159">
      <c r="H159" s="54"/>
    </row>
    <row r="160">
      <c r="H160" s="54"/>
    </row>
    <row r="161">
      <c r="H161" s="54"/>
    </row>
    <row r="162">
      <c r="H162" s="54"/>
    </row>
    <row r="163">
      <c r="H163" s="54"/>
    </row>
    <row r="164">
      <c r="H164" s="54"/>
    </row>
    <row r="165">
      <c r="H165" s="54"/>
    </row>
    <row r="166">
      <c r="H166" s="54"/>
    </row>
    <row r="167">
      <c r="H167" s="54"/>
    </row>
    <row r="168">
      <c r="H168" s="54"/>
    </row>
    <row r="169">
      <c r="H169" s="54"/>
    </row>
    <row r="170">
      <c r="H170" s="54"/>
    </row>
    <row r="171">
      <c r="H171" s="54"/>
    </row>
    <row r="172">
      <c r="H172" s="54"/>
    </row>
    <row r="173">
      <c r="H173" s="54"/>
    </row>
    <row r="174">
      <c r="H174" s="54"/>
    </row>
    <row r="175">
      <c r="H175" s="54"/>
    </row>
    <row r="176">
      <c r="H176" s="54"/>
    </row>
    <row r="177">
      <c r="H177" s="54"/>
    </row>
    <row r="178">
      <c r="H178" s="54"/>
    </row>
    <row r="179">
      <c r="H179" s="54"/>
    </row>
    <row r="180">
      <c r="H180" s="54"/>
    </row>
    <row r="181">
      <c r="H181" s="54"/>
    </row>
    <row r="182">
      <c r="H182" s="54"/>
    </row>
    <row r="183">
      <c r="H183" s="54"/>
    </row>
    <row r="184">
      <c r="H184" s="54"/>
    </row>
    <row r="185">
      <c r="H185" s="54"/>
    </row>
    <row r="186">
      <c r="H186" s="54"/>
    </row>
    <row r="187">
      <c r="H187" s="54"/>
    </row>
    <row r="188">
      <c r="H188" s="54"/>
    </row>
    <row r="189">
      <c r="H189" s="54"/>
    </row>
    <row r="190">
      <c r="H190" s="54"/>
    </row>
    <row r="191">
      <c r="H191" s="54"/>
    </row>
    <row r="192">
      <c r="H192" s="54"/>
    </row>
    <row r="193">
      <c r="H193" s="54"/>
    </row>
    <row r="194">
      <c r="H194" s="54"/>
    </row>
    <row r="195">
      <c r="H195" s="54"/>
    </row>
    <row r="196">
      <c r="H196" s="54"/>
    </row>
    <row r="197">
      <c r="H197" s="54"/>
    </row>
    <row r="198">
      <c r="H198" s="54"/>
    </row>
    <row r="199">
      <c r="H199" s="54"/>
    </row>
    <row r="200">
      <c r="H200" s="54"/>
    </row>
    <row r="201">
      <c r="H201" s="54"/>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row r="1001">
      <c r="H1001" s="54"/>
    </row>
    <row r="1002">
      <c r="H1002" s="54"/>
    </row>
    <row r="1003">
      <c r="H1003" s="54"/>
    </row>
  </sheetData>
  <mergeCells count="4">
    <mergeCell ref="C1:H1"/>
    <mergeCell ref="D2:E2"/>
    <mergeCell ref="G2:H2"/>
    <mergeCell ref="D3:E3"/>
  </mergeCells>
  <hyperlinks>
    <hyperlink r:id="rId2" ref="G2"/>
  </hyperlinks>
  <drawing r:id="rId3"/>
  <legacyDrawing r:id="rId4"/>
</worksheet>
</file>