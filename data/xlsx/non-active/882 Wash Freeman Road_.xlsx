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After every sentance, make sure to insrt a line break by Alt + Enter.</t>
      </text>
    </comment>
  </commentList>
</comments>
</file>

<file path=xl/sharedStrings.xml><?xml version="1.0" encoding="utf-8"?>
<sst xmlns="http://schemas.openxmlformats.org/spreadsheetml/2006/main" count="51" uniqueCount="29">
  <si>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</si>
  <si>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</si>
  <si>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</si>
  <si>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</si>
  <si>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</si>
  <si>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</si>
  <si>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</si>
  <si>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</si>
  <si>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</si>
  <si>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</si>
  <si>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</si>
  <si>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</si>
  <si>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</si>
  <si>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</si>
  <si>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</si>
  <si>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</si>
  <si>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882 Wash Freeman Road</t>
  </si>
  <si>
    <t>https://www.zillow.com/homedetails/882-Wash-Freeman-Rd-Hendersonville-NC-28792/306149900_zpid/</t>
  </si>
  <si>
    <t>Current List Price</t>
  </si>
  <si>
    <t>Week Ending In</t>
  </si>
  <si>
    <t>No. Leads</t>
  </si>
  <si>
    <t>Pre-Qualified Leads</t>
  </si>
  <si>
    <t>Scheduled Showngs</t>
  </si>
  <si>
    <r>
      <rPr>
        <rFont val="Arial"/>
        <color theme="1"/>
      </rPr>
      <t xml:space="preserve">We have two showings scheduled in the next week. 
</t>
    </r>
    <r>
      <rPr>
        <rFont val="Arial"/>
        <b/>
        <color theme="1"/>
      </rPr>
      <t>Facebook:</t>
    </r>
    <r>
      <rPr>
        <rFont val="Arial"/>
        <color theme="1"/>
      </rPr>
      <t xml:space="preserve"> 345 Clicks, 0 saves, 0 conversations</t>
    </r>
  </si>
  <si>
    <r>
      <rPr>
        <rFont val="Arial"/>
        <b val="0"/>
        <color theme="1"/>
      </rPr>
      <t xml:space="preserve">Unfortunately both showings we scheduled over the weekend were no shows. We will keep pushing interested parties to set up showings. 
We will also follow up with any leads yet to schedule a tour to see if we can help nudge some more eyes in the unit.
</t>
    </r>
    <r>
      <rPr>
        <rFont val="Arial"/>
        <b/>
        <color theme="1"/>
      </rPr>
      <t xml:space="preserve">Facebook: </t>
    </r>
    <r>
      <rPr>
        <rFont val="Arial"/>
        <b val="0"/>
        <color theme="1"/>
      </rPr>
      <t>327 clicks, 2 saves,  0 conversations</t>
    </r>
  </si>
  <si>
    <r>
      <rPr>
        <rFont val="Arial"/>
        <b val="0"/>
        <color theme="1"/>
      </rPr>
      <t xml:space="preserve">We received the application from the showing last week and have started processing. We should be able to update you by the end of the week. 
Separately, we have hit a great stride with activity booking 6 additional showings over the next week and a half. We have 2 tours on Thursday morning, 3 more next Tuesday afternoon and a final one next Thursday afternoon. 
What is the timeline on installing a fence if a prospective tenant wants to move quickly?
</t>
    </r>
    <r>
      <rPr>
        <rFont val="Arial"/>
        <b/>
        <color theme="1"/>
      </rPr>
      <t>Facebook:</t>
    </r>
    <r>
      <rPr>
        <rFont val="Arial"/>
        <b val="0"/>
        <color theme="1"/>
      </rPr>
      <t xml:space="preserve"> 756 clicks, 5 saves, 0 shares, 0 conversations</t>
    </r>
  </si>
  <si>
    <r>
      <rPr>
        <rFont val="Arial"/>
        <b val="0"/>
        <color theme="1"/>
      </rPr>
      <t>This unit has significant activity thus far. Some of the expected tours from last week had to be cancelled, but all rescheduled for this week with 4 showings this afternoon.
The application update is unchanged from yesterday's email, but I expect things to be fully processed by the end of the week. A couple things are proving more time consuming to verify than is typical, but the ball is moving in the right direction.
We are offering a $200 move in special at no cost to you as an added incentive to get leases signed.</t>
    </r>
    <r>
      <rPr>
        <rFont val="Arial"/>
        <b/>
        <color theme="1"/>
      </rPr>
      <t xml:space="preserve">
Facebook: </t>
    </r>
    <r>
      <rPr>
        <rFont val="Arial"/>
        <b val="0"/>
        <color theme="1"/>
      </rPr>
      <t>326 clicks, 0 saves, 0 shares, 0 conversations</t>
    </r>
  </si>
  <si>
    <r>
      <rPr>
        <rFont val="Arial"/>
        <b val="0"/>
        <color theme="1"/>
      </rPr>
      <t xml:space="preserve">This unit still has high activity with 11 scheduled showings last week, but 5 cancelations out of the 11.
Of the remaining 6, 2 liked the unit and I already received an application from one, while the other will be getting back to me when they get back into town this week. I answered their outstanding questions regarding the shed.
The older application is finished being processed and you should have an email with the details sent to you today, but please note they want a December move in date.
We have 2 showings today at 12:30pm, 1 on Monday at 4pm and 1 on Tuesday at 4:30pm. Hoping these showings stick. 
</t>
    </r>
    <r>
      <rPr>
        <rFont val="Arial"/>
        <b/>
        <color theme="1"/>
      </rPr>
      <t xml:space="preserve">Facebook: </t>
    </r>
    <r>
      <rPr>
        <rFont val="Arial"/>
        <b val="0"/>
        <color theme="1"/>
      </rPr>
      <t xml:space="preserve">116 clicks, 1 save, 0 shares, 1 conversation. </t>
    </r>
  </si>
  <si>
    <t>Average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</si>
</sst>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4">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13"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24" fillId="0" fontId="9" numFmtId="0" xfId="0" applyAlignment="1" applyBorder="1" applyFont="1">
      <alignment horizontal="left" readingOrder="0" shrinkToFit="0" wrapText="1"/>
    </xf>
    <xf borderId="24" fillId="0" fontId="13" numFmtId="0" xfId="0" applyAlignment="1" applyBorder="1" applyFont="1">
      <alignment horizontal="left" readingOrder="0" shrinkToFit="0" wrapText="1"/>
    </xf>
    <xf borderId="0" fillId="0" fontId="13" numFmtId="0" xfId="0" applyAlignment="1" applyFont="1">
      <alignment readingOrder="0"/>
    </xf>
    <xf borderId="23" fillId="0" fontId="9" numFmtId="0" xfId="0" applyAlignment="1" applyBorder="1" applyFont="1">
      <alignment horizontal="center"/>
    </xf>
    <xf borderId="0" fillId="0" fontId="9" numFmtId="0" xfId="0" applyAlignment="1" applyFont="1">
      <alignment horizontal="center"/>
    </xf>
    <xf borderId="24" fillId="0" fontId="9" numFmtId="0" xfId="0" applyAlignment="1" applyBorder="1" applyFont="1">
      <alignment horizontal="left" shrinkToFit="0" wrapText="1"/>
    </xf>
    <xf borderId="0" fillId="0" fontId="9" numFmtId="164" xfId="0" applyFont="1" applyNumberFormat="1"/>
    <xf borderId="0" fillId="0" fontId="9" numFmtId="0" xfId="0" applyFont="1"/>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882-Wash-Freeman-Rd-Hendersonville-NC-28792/306149900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882 Wash Freeman Road</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October 7,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11</v>
      </c>
      <c r="C6" s="12" t="str">
        <f>IFERROR(__xludf.DUMMYFUNCTION("IF(COUNTUNIQUE('Data Entry'!B:B)&lt;2, """", TEXT(XLOOKUP(MAX('Data Entry'!B:B), 'Data Entry'!B:B, 'Data Entry'!C:C, 0, FALSE, -1) - IFERROR(XLOOKUP(LARGE(UNIQUE('Data Entry'!B:B), 2), 'Data Entry'!B:B, 'Data Entry'!C:C, 0, FALSE, -1), 0), ""+0;-0;0""))"),"+5")</f>
        <v>+5</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11</v>
      </c>
      <c r="C7" s="12" t="str">
        <f>IFERROR(__xludf.DUMMYFUNCTION("IF(COUNTUNIQUE('Data Entry'!B:B)&lt;2, """", TEXT(XLOOKUP(MAX('Data Entry'!B:B), 'Data Entry'!B:B, 'Data Entry'!D:D, 0, FALSE, -1) - IFERROR(XLOOKUP(LARGE(UNIQUE('Data Entry'!B:B), 2), 'Data Entry'!B:B, 'Data Entry'!D:D, 0, FALSE, -1), 0), ""+0;-0;0""))"),"+6")</f>
        <v>+6</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11</v>
      </c>
      <c r="C8" s="12" t="str">
        <f>IFERROR(__xludf.DUMMYFUNCTION("IF(COUNTUNIQUE('Data Entry'!B:B)&lt;2, """", TEXT(XLOOKUP(MAX('Data Entry'!B:B), 'Data Entry'!B:B, 'Data Entry'!E:E, 0, FALSE, -1) - IFERROR(XLOOKUP(LARGE(UNIQUE('Data Entry'!B:B), 2), 'Data Entry'!B:B, 'Data Entry'!E:E, 0, FALSE, -1), 0), ""+0;-0;0""))"),"+6")</f>
        <v>+6</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2</v>
      </c>
      <c r="C9" s="12" t="str">
        <f>IFERROR(__xludf.DUMMYFUNCTION("IF(COUNTUNIQUE('Data Entry'!B:B)&lt;2, """", TEXT(XLOOKUP(MAX('Data Entry'!B:B), 'Data Entry'!B:B, 'Data Entry'!F:F, 0, FALSE, -1) - IFERROR(XLOOKUP(LARGE(UNIQUE('Data Entry'!B:B), 2), 'Data Entry'!B:B, 'Data Entry'!F:F, 0, FALSE, -1), 0), ""+0;-0;0""))"),"-2")</f>
        <v>-2</v>
      </c>
      <c r="D9" s="7"/>
      <c r="E9" s="7"/>
      <c r="F9" s="4"/>
      <c r="G9" s="4"/>
      <c r="H9" s="4"/>
      <c r="I9" s="4"/>
      <c r="J9" s="4"/>
      <c r="K9" s="4"/>
      <c r="L9" s="4"/>
      <c r="M9" s="4"/>
      <c r="N9" s="4"/>
      <c r="O9" s="4"/>
      <c r="P9" s="4"/>
      <c r="Q9" s="4"/>
      <c r="R9" s="4"/>
      <c r="S9" s="4"/>
      <c r="T9" s="4"/>
      <c r="U9" s="4"/>
      <c r="V9" s="4"/>
      <c r="W9" s="4"/>
    </row>
    <row r="10">
      <c r="A10" s="13" t="s">
        <v>8</v>
      </c>
      <c r="B10" s="14">
        <f t="array" ref="B10">XLOOKUP(MAX('Data Entry'!B:B), 'Data Entry'!B:B, 'Data Entry'!G:G, "No Data Yet", FALSE, -1)</f>
        <v>1</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This unit still has high activity with 11 scheduled showings last week, but 5 cancelations out of the 11.
Of the remaining 6, 2 liked the unit and I already received an application from one, while the other will be getting back to me when they get back into town this week. I answered their outstanding questions regarding the shed.
The older application is finished being processed and you should have an email with the details sent to you today, but please note they want a December move in date.
We have 2 showings today at 12:30pm, 1 on Monday at 4pm and 1 on Tuesday at 4:30pm. Hoping these showings stick. 
Facebook: 116 clicks, 1 save, 0 shares, 1 conversation.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34</v>
      </c>
      <c r="C18" s="24">
        <f>'Data Entry'!K11</f>
        <v>6.8</v>
      </c>
      <c r="D18" s="7"/>
      <c r="E18" s="7"/>
      <c r="F18" s="4"/>
      <c r="G18" s="4"/>
      <c r="H18" s="4"/>
      <c r="I18" s="4"/>
      <c r="J18" s="4"/>
      <c r="K18" s="4"/>
      <c r="L18" s="4"/>
      <c r="M18" s="4"/>
      <c r="N18" s="4"/>
      <c r="O18" s="4"/>
      <c r="P18" s="4"/>
      <c r="Q18" s="4"/>
      <c r="R18" s="4"/>
      <c r="S18" s="4"/>
      <c r="T18" s="4"/>
      <c r="U18" s="4"/>
      <c r="V18" s="4"/>
      <c r="W18" s="4"/>
    </row>
    <row r="19">
      <c r="A19" s="5" t="s">
        <v>5</v>
      </c>
      <c r="B19" s="23">
        <f>'Data Entry'!K5</f>
        <v>27</v>
      </c>
      <c r="C19" s="24">
        <f>'Data Entry'!K12</f>
        <v>5.4</v>
      </c>
      <c r="D19" s="7"/>
      <c r="E19" s="7"/>
      <c r="F19" s="4"/>
      <c r="G19" s="4"/>
      <c r="H19" s="4"/>
      <c r="I19" s="4"/>
      <c r="J19" s="4"/>
      <c r="K19" s="4"/>
      <c r="L19" s="4"/>
      <c r="M19" s="4"/>
      <c r="N19" s="4"/>
      <c r="O19" s="4"/>
      <c r="P19" s="4"/>
      <c r="Q19" s="4"/>
      <c r="R19" s="4"/>
      <c r="S19" s="4"/>
      <c r="T19" s="4"/>
      <c r="U19" s="4"/>
      <c r="V19" s="4"/>
      <c r="W19" s="4"/>
    </row>
    <row r="20">
      <c r="A20" s="5" t="s">
        <v>6</v>
      </c>
      <c r="B20" s="23">
        <f>'Data Entry'!K6</f>
        <v>27</v>
      </c>
      <c r="C20" s="24">
        <f>'Data Entry'!K13</f>
        <v>5.4</v>
      </c>
      <c r="D20" s="7"/>
      <c r="E20" s="7"/>
      <c r="F20" s="4"/>
      <c r="G20" s="4"/>
      <c r="H20" s="4"/>
      <c r="I20" s="4"/>
      <c r="J20" s="4"/>
      <c r="K20" s="4"/>
      <c r="L20" s="4"/>
      <c r="M20" s="4"/>
      <c r="N20" s="4"/>
      <c r="O20" s="4"/>
      <c r="P20" s="4"/>
      <c r="Q20" s="4"/>
      <c r="R20" s="4"/>
      <c r="S20" s="4"/>
      <c r="T20" s="4"/>
      <c r="U20" s="4"/>
      <c r="V20" s="4"/>
      <c r="W20" s="4"/>
    </row>
    <row r="21">
      <c r="A21" s="5" t="s">
        <v>7</v>
      </c>
      <c r="B21" s="23">
        <f>'Data Entry'!K7</f>
        <v>16</v>
      </c>
      <c r="C21" s="24">
        <f>'Data Entry'!K14</f>
        <v>3.2</v>
      </c>
      <c r="D21" s="7"/>
      <c r="E21" s="7"/>
      <c r="F21" s="4"/>
      <c r="G21" s="4"/>
      <c r="H21" s="4"/>
      <c r="I21" s="4"/>
      <c r="J21" s="4"/>
      <c r="K21" s="4"/>
      <c r="L21" s="4"/>
      <c r="M21" s="4"/>
      <c r="N21" s="4"/>
      <c r="O21" s="4"/>
      <c r="P21" s="4"/>
      <c r="Q21" s="4"/>
      <c r="R21" s="4"/>
      <c r="S21" s="4"/>
      <c r="T21" s="4"/>
      <c r="U21" s="4"/>
      <c r="V21" s="4"/>
      <c r="W21" s="4"/>
    </row>
    <row r="22">
      <c r="A22" s="5" t="s">
        <v>8</v>
      </c>
      <c r="B22" s="23">
        <f>'Data Entry'!K8</f>
        <v>3</v>
      </c>
      <c r="C22" s="23">
        <f>'Data Entry'!K15</f>
        <v>0.6</v>
      </c>
      <c r="D22" s="7"/>
      <c r="E22" s="7"/>
      <c r="F22" s="4"/>
      <c r="G22" s="4"/>
      <c r="H22" s="4"/>
      <c r="I22" s="4"/>
      <c r="J22" s="4"/>
      <c r="K22" s="4"/>
      <c r="L22" s="4"/>
      <c r="M22" s="4"/>
      <c r="N22" s="4"/>
      <c r="O22" s="4"/>
      <c r="P22" s="4"/>
      <c r="Q22" s="4"/>
      <c r="R22" s="4"/>
      <c r="S22" s="4"/>
      <c r="T22" s="4"/>
      <c r="U22" s="4"/>
      <c r="V22" s="4"/>
      <c r="W22" s="4"/>
    </row>
    <row r="23">
      <c r="A23" s="13" t="s">
        <v>13</v>
      </c>
      <c r="B23" s="25">
        <f>'Data Entry'!D2</f>
        <v>36</v>
      </c>
      <c r="C23" s="3"/>
      <c r="D23" s="7"/>
      <c r="E23" s="7"/>
      <c r="F23" s="4"/>
      <c r="G23" s="4"/>
      <c r="H23" s="4"/>
      <c r="I23" s="4"/>
      <c r="J23" s="4"/>
      <c r="K23" s="4"/>
      <c r="L23" s="4"/>
      <c r="M23" s="4"/>
      <c r="N23" s="4"/>
      <c r="O23" s="4"/>
      <c r="P23" s="4"/>
      <c r="Q23" s="4"/>
      <c r="R23" s="4"/>
      <c r="S23" s="4"/>
      <c r="T23" s="4"/>
      <c r="U23" s="4"/>
      <c r="V23" s="4"/>
      <c r="W23" s="4"/>
    </row>
    <row r="24">
      <c r="A24" s="5" t="s">
        <v>14</v>
      </c>
      <c r="B24" s="26">
        <f>'Data Entry'!D3</f>
        <v>2350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https://www.zillow.com/homedetails/882-Wash-Freeman-Rd-Hendersonville-NC-28792/306149900_zpid/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36.0</v>
      </c>
      <c r="E2" s="34"/>
      <c r="F2" s="32" t="s">
        <v>15</v>
      </c>
      <c r="G2" s="35" t="s">
        <v>17</v>
      </c>
      <c r="H2" s="34"/>
      <c r="J2" s="36"/>
      <c r="K2" s="37"/>
    </row>
    <row r="3">
      <c r="B3" s="31"/>
      <c r="C3" s="38" t="s">
        <v>18</v>
      </c>
      <c r="D3" s="39">
        <v>2350.0</v>
      </c>
      <c r="E3" s="40"/>
      <c r="F3" s="31"/>
      <c r="G3" s="31"/>
      <c r="H3" s="41"/>
      <c r="J3" s="36"/>
      <c r="K3" s="37"/>
    </row>
    <row r="4">
      <c r="B4" s="42" t="s">
        <v>19</v>
      </c>
      <c r="C4" s="43" t="s">
        <v>20</v>
      </c>
      <c r="D4" s="43" t="s">
        <v>21</v>
      </c>
      <c r="E4" s="43" t="s">
        <v>22</v>
      </c>
      <c r="F4" s="43" t="s">
        <v>7</v>
      </c>
      <c r="G4" s="43" t="s">
        <v>8</v>
      </c>
      <c r="H4" s="44" t="s">
        <v>9</v>
      </c>
      <c r="J4" s="36" t="s">
        <v>4</v>
      </c>
      <c r="K4" s="37">
        <f>SUM(C5:C100)</f>
        <v>34</v>
      </c>
    </row>
    <row r="5">
      <c r="B5" s="45">
        <v>45911.0</v>
      </c>
      <c r="C5" s="31">
        <v>7.0</v>
      </c>
      <c r="D5" s="31">
        <v>3.0</v>
      </c>
      <c r="E5" s="31">
        <v>3.0</v>
      </c>
      <c r="F5" s="31">
        <v>2.0</v>
      </c>
      <c r="G5" s="31">
        <v>0.0</v>
      </c>
      <c r="H5" s="46" t="s">
        <v>23</v>
      </c>
      <c r="J5" s="36" t="s">
        <v>5</v>
      </c>
      <c r="K5" s="37">
        <f>SUM(D5:D100)</f>
        <v>27</v>
      </c>
    </row>
    <row r="6">
      <c r="B6" s="45">
        <v>45916.0</v>
      </c>
      <c r="C6" s="31">
        <v>2.0</v>
      </c>
      <c r="D6" s="31">
        <v>1.0</v>
      </c>
      <c r="E6" s="31">
        <v>1.0</v>
      </c>
      <c r="F6" s="31">
        <v>1.0</v>
      </c>
      <c r="G6" s="31">
        <v>0.0</v>
      </c>
      <c r="H6" s="47" t="s">
        <v>24</v>
      </c>
      <c r="J6" s="36" t="s">
        <v>6</v>
      </c>
      <c r="K6" s="37">
        <f>SUM(E:E)</f>
        <v>27</v>
      </c>
    </row>
    <row r="7">
      <c r="B7" s="45">
        <v>45923.0</v>
      </c>
      <c r="C7" s="31">
        <v>8.0</v>
      </c>
      <c r="D7" s="31">
        <v>7.0</v>
      </c>
      <c r="E7" s="31">
        <v>7.0</v>
      </c>
      <c r="F7" s="31">
        <v>7.0</v>
      </c>
      <c r="G7" s="31">
        <v>1.0</v>
      </c>
      <c r="H7" s="47" t="s">
        <v>25</v>
      </c>
      <c r="J7" s="36" t="s">
        <v>7</v>
      </c>
      <c r="K7" s="37">
        <f>SUM(F5:F100)</f>
        <v>16</v>
      </c>
    </row>
    <row r="8">
      <c r="B8" s="45">
        <v>45930.0</v>
      </c>
      <c r="C8" s="31">
        <v>6.0</v>
      </c>
      <c r="D8" s="31">
        <v>5.0</v>
      </c>
      <c r="E8" s="31">
        <v>5.0</v>
      </c>
      <c r="F8" s="31">
        <v>4.0</v>
      </c>
      <c r="G8" s="31">
        <v>1.0</v>
      </c>
      <c r="H8" s="47" t="s">
        <v>26</v>
      </c>
      <c r="J8" s="48" t="s">
        <v>8</v>
      </c>
      <c r="K8" s="37">
        <f>SUM(G5:G100)</f>
        <v>3</v>
      </c>
    </row>
    <row r="9">
      <c r="B9" s="45">
        <v>45937.0</v>
      </c>
      <c r="C9" s="31">
        <v>11.0</v>
      </c>
      <c r="D9" s="31">
        <v>11.0</v>
      </c>
      <c r="E9" s="31">
        <v>11.0</v>
      </c>
      <c r="F9" s="31">
        <v>2.0</v>
      </c>
      <c r="G9" s="31">
        <v>1.0</v>
      </c>
      <c r="H9" s="47" t="s">
        <v>27</v>
      </c>
      <c r="K9" s="37"/>
    </row>
    <row r="10">
      <c r="B10" s="49"/>
      <c r="C10" s="50"/>
      <c r="D10" s="50"/>
      <c r="E10" s="50"/>
      <c r="F10" s="50"/>
      <c r="G10" s="50"/>
      <c r="H10" s="51"/>
      <c r="J10" s="30" t="s">
        <v>28</v>
      </c>
    </row>
    <row r="11">
      <c r="B11" s="49"/>
      <c r="C11" s="50"/>
      <c r="D11" s="50"/>
      <c r="E11" s="50"/>
      <c r="F11" s="50"/>
      <c r="G11" s="50"/>
      <c r="H11" s="51"/>
      <c r="J11" s="36" t="s">
        <v>4</v>
      </c>
      <c r="K11" s="52">
        <f>AVERAGE(C5:C100)</f>
        <v>6.8</v>
      </c>
    </row>
    <row r="12">
      <c r="B12" s="49"/>
      <c r="C12" s="50"/>
      <c r="D12" s="50"/>
      <c r="E12" s="50"/>
      <c r="F12" s="50"/>
      <c r="G12" s="50"/>
      <c r="H12" s="51"/>
      <c r="J12" s="36" t="s">
        <v>5</v>
      </c>
      <c r="K12" s="52">
        <f>AVERAGE(D5:D100)</f>
        <v>5.4</v>
      </c>
    </row>
    <row r="13">
      <c r="B13" s="49"/>
      <c r="C13" s="50"/>
      <c r="D13" s="50"/>
      <c r="E13" s="50"/>
      <c r="F13" s="50"/>
      <c r="G13" s="50"/>
      <c r="H13" s="51"/>
      <c r="J13" s="36" t="s">
        <v>6</v>
      </c>
      <c r="K13" s="52">
        <f>AVERAGE(E5:E100)</f>
        <v>5.4</v>
      </c>
    </row>
    <row r="14">
      <c r="B14" s="49"/>
      <c r="C14" s="50"/>
      <c r="D14" s="50"/>
      <c r="E14" s="50"/>
      <c r="F14" s="50"/>
      <c r="G14" s="50"/>
      <c r="H14" s="51"/>
      <c r="J14" s="36" t="s">
        <v>7</v>
      </c>
      <c r="K14" s="52">
        <f>AVERAGE(F5:F100)</f>
        <v>3.2</v>
      </c>
    </row>
    <row r="15">
      <c r="B15" s="49"/>
      <c r="C15" s="50"/>
      <c r="D15" s="50"/>
      <c r="E15" s="50"/>
      <c r="F15" s="50"/>
      <c r="G15" s="50"/>
      <c r="H15" s="51"/>
      <c r="J15" s="48" t="s">
        <v>8</v>
      </c>
      <c r="K15" s="53">
        <f>AVERAGE(G5:G100)</f>
        <v>0.6</v>
      </c>
    </row>
    <row r="16">
      <c r="B16" s="49"/>
      <c r="C16" s="50"/>
      <c r="D16" s="50"/>
      <c r="E16" s="50"/>
      <c r="F16" s="50"/>
      <c r="G16" s="50"/>
      <c r="H16" s="51"/>
    </row>
    <row r="17">
      <c r="B17" s="49"/>
      <c r="C17" s="50"/>
      <c r="D17" s="50"/>
      <c r="E17" s="50"/>
      <c r="F17" s="50"/>
      <c r="G17" s="50"/>
      <c r="H17" s="51"/>
    </row>
    <row r="18">
      <c r="B18" s="49"/>
      <c r="C18" s="50"/>
      <c r="D18" s="50"/>
      <c r="E18" s="50"/>
      <c r="F18" s="50"/>
      <c r="G18" s="50"/>
      <c r="H18" s="51"/>
    </row>
    <row r="19">
      <c r="B19" s="49"/>
      <c r="C19" s="50"/>
      <c r="D19" s="50"/>
      <c r="E19" s="50"/>
      <c r="F19" s="50"/>
      <c r="G19" s="50"/>
      <c r="H19" s="51"/>
    </row>
    <row r="20">
      <c r="B20" s="49"/>
      <c r="C20" s="50"/>
      <c r="D20" s="50"/>
      <c r="E20" s="50"/>
      <c r="F20" s="50"/>
      <c r="G20" s="50"/>
      <c r="H20" s="51"/>
    </row>
    <row r="21">
      <c r="B21" s="49"/>
      <c r="C21" s="50"/>
      <c r="D21" s="50"/>
      <c r="E21" s="50"/>
      <c r="F21" s="50"/>
      <c r="G21" s="50"/>
      <c r="H21" s="51"/>
    </row>
    <row r="22">
      <c r="B22" s="49"/>
      <c r="C22" s="50"/>
      <c r="D22" s="50"/>
      <c r="E22" s="50"/>
      <c r="F22" s="50"/>
      <c r="G22" s="50"/>
      <c r="H22" s="51"/>
    </row>
    <row r="23">
      <c r="B23" s="49"/>
      <c r="C23" s="50"/>
      <c r="D23" s="50"/>
      <c r="E23" s="50"/>
      <c r="F23" s="50"/>
      <c r="G23" s="50"/>
      <c r="H23" s="51"/>
    </row>
    <row r="24">
      <c r="B24" s="49"/>
      <c r="C24" s="50"/>
      <c r="D24" s="50"/>
      <c r="E24" s="50"/>
      <c r="F24" s="50"/>
      <c r="G24" s="50"/>
      <c r="H24" s="51"/>
    </row>
    <row r="25">
      <c r="B25" s="49"/>
      <c r="C25" s="50"/>
      <c r="D25" s="50"/>
      <c r="E25" s="50"/>
      <c r="F25" s="50"/>
      <c r="G25" s="50"/>
      <c r="H25" s="51"/>
    </row>
    <row r="26">
      <c r="B26" s="49"/>
      <c r="C26" s="50"/>
      <c r="D26" s="50"/>
      <c r="E26" s="50"/>
      <c r="F26" s="50"/>
      <c r="G26" s="50"/>
      <c r="H26" s="51"/>
    </row>
    <row r="27">
      <c r="B27" s="49"/>
      <c r="C27" s="50"/>
      <c r="D27" s="50"/>
      <c r="E27" s="50"/>
      <c r="F27" s="50"/>
      <c r="G27" s="50"/>
      <c r="H27" s="51"/>
    </row>
    <row r="28">
      <c r="B28" s="49"/>
      <c r="C28" s="50"/>
      <c r="D28" s="50"/>
      <c r="E28" s="50"/>
      <c r="F28" s="50"/>
      <c r="G28" s="50"/>
      <c r="H28" s="51"/>
    </row>
    <row r="29">
      <c r="B29" s="49"/>
      <c r="C29" s="50"/>
      <c r="D29" s="50"/>
      <c r="E29" s="50"/>
      <c r="F29" s="50"/>
      <c r="G29" s="50"/>
      <c r="H29" s="51"/>
    </row>
    <row r="30">
      <c r="B30" s="49"/>
      <c r="C30" s="50"/>
      <c r="D30" s="50"/>
      <c r="E30" s="50"/>
      <c r="F30" s="50"/>
      <c r="G30" s="50"/>
      <c r="H30" s="51"/>
    </row>
    <row r="31">
      <c r="B31" s="50"/>
      <c r="C31" s="50"/>
      <c r="D31" s="50"/>
      <c r="E31" s="50"/>
      <c r="F31" s="50"/>
      <c r="G31" s="50"/>
      <c r="H31" s="54"/>
    </row>
    <row r="32">
      <c r="B32" s="50"/>
      <c r="C32" s="50"/>
      <c r="D32" s="50"/>
      <c r="E32" s="50"/>
      <c r="F32" s="50"/>
      <c r="G32" s="50"/>
      <c r="H32" s="54"/>
    </row>
    <row r="33">
      <c r="B33" s="50"/>
      <c r="C33" s="50"/>
      <c r="D33" s="50"/>
      <c r="E33" s="50"/>
      <c r="F33" s="50"/>
      <c r="G33" s="50"/>
      <c r="H33" s="54"/>
    </row>
    <row r="34">
      <c r="B34" s="50"/>
      <c r="C34" s="50"/>
      <c r="D34" s="50"/>
      <c r="E34" s="50"/>
      <c r="F34" s="50"/>
      <c r="G34" s="50"/>
      <c r="H34" s="54"/>
    </row>
    <row r="35">
      <c r="B35" s="50"/>
      <c r="C35" s="50"/>
      <c r="D35" s="50"/>
      <c r="E35" s="50"/>
      <c r="F35" s="50"/>
      <c r="G35" s="50"/>
      <c r="H35" s="54"/>
    </row>
    <row r="36">
      <c r="B36" s="50"/>
      <c r="C36" s="50"/>
      <c r="D36" s="50"/>
      <c r="E36" s="50"/>
      <c r="F36" s="50"/>
      <c r="G36" s="50"/>
      <c r="H36" s="54"/>
    </row>
    <row r="37">
      <c r="B37" s="50"/>
      <c r="C37" s="50"/>
      <c r="D37" s="50"/>
      <c r="E37" s="50"/>
      <c r="F37" s="50"/>
      <c r="G37" s="50"/>
      <c r="H37" s="54"/>
    </row>
    <row r="38">
      <c r="B38" s="50"/>
      <c r="C38" s="50"/>
      <c r="D38" s="50"/>
      <c r="E38" s="50"/>
      <c r="F38" s="50"/>
      <c r="G38" s="50"/>
      <c r="H38" s="54"/>
    </row>
    <row r="39">
      <c r="B39" s="50"/>
      <c r="C39" s="50"/>
      <c r="D39" s="50"/>
      <c r="E39" s="50"/>
      <c r="F39" s="50"/>
      <c r="G39" s="50"/>
      <c r="H39" s="54"/>
    </row>
    <row r="40">
      <c r="H40" s="54"/>
    </row>
    <row r="41">
      <c r="H41" s="54"/>
    </row>
    <row r="42">
      <c r="H42" s="54"/>
    </row>
    <row r="43">
      <c r="H43" s="54"/>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2" ref="G2"/>
  </hyperlinks>
  <drawing r:id="rId3"/>
  <legacyDrawing r:id="rId4"/>
</worksheet>
</file>