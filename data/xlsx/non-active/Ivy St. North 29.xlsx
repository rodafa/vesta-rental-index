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<sst xmlns="http://schemas.openxmlformats.org/spreadsheetml/2006/main" count="53" uniqueCount="31">
  <si>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</si>
  <si>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</si>
  <si>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</si>
  <si>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</si>
  <si>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</si>
  <si>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</si>
  <si>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</si>
  <si>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</si>
  <si>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</si>
  <si>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</si>
  <si>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</si>
  <si>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</si>
  <si>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</si>
  <si>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</si>
  <si>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</si>
  <si>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</si>
  <si>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29 Ivy Street North</t>
  </si>
  <si>
    <t>https://www.zillow.com/homedetails/29-Ivy-St-N-Asheville-NC-28804/2086083169_zpid/</t>
  </si>
  <si>
    <t>Current List Price</t>
  </si>
  <si>
    <t>Week Ending In</t>
  </si>
  <si>
    <t>No. Leads</t>
  </si>
  <si>
    <t>Pre-Qualified Leads</t>
  </si>
  <si>
    <t>Scheduled Showngs</t>
  </si>
  <si>
    <t xml:space="preserve">
Right out the gate there is a lot of interest. I am going to schedule block showings so we can get as many people inside as possible as quickly as possible. I expect to have all showings scheduled by tomorrow. I will update you as I receive feedback from the prospective tenants.
</t>
  </si>
  <si>
    <t xml:space="preserve">
The tenants were out of town last week and one will be back on Thursday of this week. We plan on doing on Open House on Friday and scheduling individual appointments for any remaining leads who are unable to make it. We will keep you posted on how it goes next week.
</t>
  </si>
  <si>
    <t xml:space="preserve">
The Open House yesterday had 3 people turn up, including Zac, and the feedback I received was it was a bit smaller than expected. All prospects were couples with pets. The rain may have deterred some people as well, so anyone who did not show up will get a call from me by tomorrow to schedule a tour. 
Zac is currently in the process of working on the deck repairs as well and we expect a proposal sent to you by tomorrow morning.
</t>
  </si>
  <si>
    <t xml:space="preserve">
The unit is continuing to receive interest, but a lot of people have cancelled appointments last minute due to various personal reasons. We moved one of the tours from today to Thursday and I will need to continue following up with the leads to schedule, and reschedule tours. I will do some follow up calls tomorrow and update the tenants accordingly.
 </t>
  </si>
  <si>
    <t xml:space="preserve">
I know we already spoke at length on the phone, but to reiterate some of those points. We are continuing to get consistent activity on the unit. 
We have two people interested in submitting an application, but I need to get back to them about the answers to their questions first. 
- The gentleman who is requesting a 7 month lease will be offered a rate of $1675 through the end of March/April and we will see if he decides to consider a year lease.
- The gentleman from Dallas who is getting a cosigner will be offered a year lease with a 9/18/25 move in date.
There are 4 more showings this week as well, so no matter what we will keep pushing.
</t>
  </si>
  <si>
    <r>
      <rPr>
        <rFont val="Arial"/>
        <b/>
        <color theme="1"/>
      </rPr>
      <t xml:space="preserve">
</t>
    </r>
    <r>
      <rPr>
        <rFont val="Arial"/>
        <b val="0"/>
        <color theme="1"/>
      </rPr>
      <t xml:space="preserve">The unit continues to get activity and multiple tours a week. The lead from Dallas who wanted a 9/18 move in date turned in an application today and we will begin processing tomorrow. The co signers credit is a 780, so fingers crossed everything works out. We showed the unit to another woman today who had 2 dogs, 1 medium and 1 large, but after hearing about how each pet requies additional rent, she was deterred as she mentioned this unit seemed higher on her price range already. We told her if for whatever reason the unit comes down in price, we would let her know in the future.
On another note, the tenants vacated the property on Sunday and we performed a walk through yesterday. We should be able to send you a complete written report by end of business tomorrow, but the unit looks good overall. Main concern is the window AC unit having a build up of what we worry could be mold/mildew and we are unsure if it can be fully cleaned. I will provide pictures in my report. 
</t>
    </r>
    <r>
      <rPr>
        <rFont val="Arial"/>
        <b/>
        <color theme="1"/>
      </rPr>
      <t xml:space="preserve">Facebook: </t>
    </r>
    <r>
      <rPr>
        <rFont val="Arial"/>
        <b val="0"/>
        <color theme="1"/>
      </rPr>
      <t xml:space="preserve">231 Clicks, 8 saves, 2 conversations
</t>
    </r>
  </si>
  <si>
    <t>Average</t>
  </si>
  <si>
    <t>We have two applications in place. Still waiting on the lease that was approved to sign the paperwork! We are actively working on finishing the final details on the other application we have in place so we can move forward with them as well potentially. 
Until we have the lease in place we will continue to show the unit. We have 4 showings for later today (9/11/25).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</si>
</sst>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9" numFmtId="0" xfId="0" applyAlignment="1" applyFont="1">
      <alignment horizontal="center"/>
    </xf>
    <xf borderId="24" fillId="0" fontId="9" numFmtId="0" xfId="0" applyAlignment="1" applyBorder="1" applyFont="1">
      <alignment horizontal="left" readingOrder="0" shrinkToFit="0" wrapText="1"/>
    </xf>
    <xf borderId="0" fillId="0" fontId="13" numFmtId="0" xfId="0" applyAlignment="1" applyFont="1">
      <alignment readingOrder="0"/>
    </xf>
    <xf borderId="24" fillId="0" fontId="13" numFmtId="0" xfId="0" applyAlignment="1" applyBorder="1" applyFont="1">
      <alignment horizontal="left" readingOrder="0" shrinkToFit="0" wrapText="1"/>
    </xf>
    <xf borderId="0" fillId="0" fontId="9" numFmtId="164" xfId="0" applyFont="1" applyNumberFormat="1"/>
    <xf borderId="23" fillId="0" fontId="9" numFmtId="0" xfId="0" applyAlignment="1" applyBorder="1" applyFont="1">
      <alignment horizontal="center"/>
    </xf>
    <xf borderId="24" fillId="0" fontId="9" numFmtId="0" xfId="0" applyAlignment="1" applyBorder="1" applyFont="1">
      <alignment horizontal="left" shrinkToFit="0" wrapText="1"/>
    </xf>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9-Ivy-St-N-Asheville-NC-28804/208608316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29 Ivy Street North</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September 11,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8</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4</v>
      </c>
      <c r="C7" s="12" t="str">
        <f>IFERROR(__xludf.DUMMYFUNCTION("IF(COUNTUNIQUE('Data Entry'!B:B)&lt;2, """", TEXT(XLOOKUP(MAX('Data Entry'!B:B), 'Data Entry'!B:B, 'Data Entry'!D:D, 0, FALSE, -1) - IFERROR(XLOOKUP(LARGE(UNIQUE('Data Entry'!B:B), 2), 'Data Entry'!B:B, 'Data Entry'!D:D, 0, FALSE, -1), 0), ""+0;-0;0""))"),"-1")</f>
        <v>-1</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4</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3</v>
      </c>
      <c r="C9" s="12" t="str">
        <f>IFERROR(__xludf.DUMMYFUNCTION("IF(COUNTUNIQUE('Data Entry'!B:B)&lt;2, """", TEXT(XLOOKUP(MAX('Data Entry'!B:B), 'Data Entry'!B:B, 'Data Entry'!F:F, 0, FALSE, -1) - IFERROR(XLOOKUP(LARGE(UNIQUE('Data Entry'!B:B), 2), 'Data Entry'!B:B, 'Data Entry'!F:F, 0, FALSE, -1), 0), ""+0;-0;0""))"),"-2")</f>
        <v>-2</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2</v>
      </c>
      <c r="C10" s="12" t="str">
        <f>IFERROR(__xludf.DUMMYFUNCTION("IF(COUNTUNIQUE('Data Entry'!B:B)&lt;2, """", TEXT(XLOOKUP(MAX('Data Entry'!B:B), 'Data Entry'!B:B, 'Data Entry'!G:G, 0, FALSE, -1) - IFERROR(XLOOKUP(LARGE(UNIQUE('Data Entry'!B:B), 2), 'Data Entry'!B:B, 'Data Entry'!G:G, 0, FALSE, -1), 0), ""+0;-0;0""))"),"+2")</f>
        <v>+2</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We have two applications in place. Still waiting on the lease that was approved to sign the paperwork! We are actively working on finishing the final details on the other application we have in place so we can move forward with them as well potentially. 
Until we have the lease in place we will continue to show the unit. We have 4 showings for later today (9/11/25).</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68</v>
      </c>
      <c r="C18" s="24">
        <f>'Data Entry'!K11</f>
        <v>9.714285714</v>
      </c>
      <c r="D18" s="7"/>
      <c r="E18" s="7"/>
      <c r="F18" s="4"/>
      <c r="G18" s="4"/>
      <c r="H18" s="4"/>
      <c r="I18" s="4"/>
      <c r="J18" s="4"/>
      <c r="K18" s="4"/>
      <c r="L18" s="4"/>
      <c r="M18" s="4"/>
      <c r="N18" s="4"/>
      <c r="O18" s="4"/>
      <c r="P18" s="4"/>
      <c r="Q18" s="4"/>
      <c r="R18" s="4"/>
      <c r="S18" s="4"/>
      <c r="T18" s="4"/>
      <c r="U18" s="4"/>
      <c r="V18" s="4"/>
      <c r="W18" s="4"/>
    </row>
    <row r="19">
      <c r="A19" s="5" t="s">
        <v>5</v>
      </c>
      <c r="B19" s="23">
        <f>'Data Entry'!K5</f>
        <v>43</v>
      </c>
      <c r="C19" s="24">
        <f>'Data Entry'!K12</f>
        <v>6.142857143</v>
      </c>
      <c r="D19" s="7"/>
      <c r="E19" s="7"/>
      <c r="F19" s="4"/>
      <c r="G19" s="4"/>
      <c r="H19" s="4"/>
      <c r="I19" s="4"/>
      <c r="J19" s="4"/>
      <c r="K19" s="4"/>
      <c r="L19" s="4"/>
      <c r="M19" s="4"/>
      <c r="N19" s="4"/>
      <c r="O19" s="4"/>
      <c r="P19" s="4"/>
      <c r="Q19" s="4"/>
      <c r="R19" s="4"/>
      <c r="S19" s="4"/>
      <c r="T19" s="4"/>
      <c r="U19" s="4"/>
      <c r="V19" s="4"/>
      <c r="W19" s="4"/>
    </row>
    <row r="20">
      <c r="A20" s="5" t="s">
        <v>6</v>
      </c>
      <c r="B20" s="23">
        <f>'Data Entry'!K6</f>
        <v>25</v>
      </c>
      <c r="C20" s="24">
        <f>'Data Entry'!K13</f>
        <v>3.571428571</v>
      </c>
      <c r="D20" s="7"/>
      <c r="E20" s="7"/>
      <c r="F20" s="4"/>
      <c r="G20" s="4"/>
      <c r="H20" s="4"/>
      <c r="I20" s="4"/>
      <c r="J20" s="4"/>
      <c r="K20" s="4"/>
      <c r="L20" s="4"/>
      <c r="M20" s="4"/>
      <c r="N20" s="4"/>
      <c r="O20" s="4"/>
      <c r="P20" s="4"/>
      <c r="Q20" s="4"/>
      <c r="R20" s="4"/>
      <c r="S20" s="4"/>
      <c r="T20" s="4"/>
      <c r="U20" s="4"/>
      <c r="V20" s="4"/>
      <c r="W20" s="4"/>
    </row>
    <row r="21">
      <c r="A21" s="5" t="s">
        <v>7</v>
      </c>
      <c r="B21" s="23">
        <f>'Data Entry'!K7</f>
        <v>22</v>
      </c>
      <c r="C21" s="24">
        <f>'Data Entry'!K14</f>
        <v>3.142857143</v>
      </c>
      <c r="D21" s="7"/>
      <c r="E21" s="7"/>
      <c r="F21" s="4"/>
      <c r="G21" s="4"/>
      <c r="H21" s="4"/>
      <c r="I21" s="4"/>
      <c r="J21" s="4"/>
      <c r="K21" s="4"/>
      <c r="L21" s="4"/>
      <c r="M21" s="4"/>
      <c r="N21" s="4"/>
      <c r="O21" s="4"/>
      <c r="P21" s="4"/>
      <c r="Q21" s="4"/>
      <c r="R21" s="4"/>
      <c r="S21" s="4"/>
      <c r="T21" s="4"/>
      <c r="U21" s="4"/>
      <c r="V21" s="4"/>
      <c r="W21" s="4"/>
    </row>
    <row r="22">
      <c r="A22" s="5" t="s">
        <v>8</v>
      </c>
      <c r="B22" s="23">
        <f>'Data Entry'!K8</f>
        <v>2</v>
      </c>
      <c r="C22" s="23">
        <f>'Data Entry'!K15</f>
        <v>2</v>
      </c>
      <c r="D22" s="7"/>
      <c r="E22" s="7"/>
      <c r="F22" s="4"/>
      <c r="G22" s="4"/>
      <c r="H22" s="4"/>
      <c r="I22" s="4"/>
      <c r="J22" s="4"/>
      <c r="K22" s="4"/>
      <c r="L22" s="4"/>
      <c r="M22" s="4"/>
      <c r="N22" s="4"/>
      <c r="O22" s="4"/>
      <c r="P22" s="4"/>
      <c r="Q22" s="4"/>
      <c r="R22" s="4"/>
      <c r="S22" s="4"/>
      <c r="T22" s="4"/>
      <c r="U22" s="4"/>
      <c r="V22" s="4"/>
      <c r="W22" s="4"/>
    </row>
    <row r="23">
      <c r="A23" s="13" t="s">
        <v>13</v>
      </c>
      <c r="B23" s="25">
        <f>'Data Entry'!D2</f>
        <v>39</v>
      </c>
      <c r="C23" s="3"/>
      <c r="D23" s="7"/>
      <c r="E23" s="7"/>
      <c r="F23" s="4"/>
      <c r="G23" s="4"/>
      <c r="H23" s="4"/>
      <c r="I23" s="4"/>
      <c r="J23" s="4"/>
      <c r="K23" s="4"/>
      <c r="L23" s="4"/>
      <c r="M23" s="4"/>
      <c r="N23" s="4"/>
      <c r="O23" s="4"/>
      <c r="P23" s="4"/>
      <c r="Q23" s="4"/>
      <c r="R23" s="4"/>
      <c r="S23" s="4"/>
      <c r="T23" s="4"/>
      <c r="U23" s="4"/>
      <c r="V23" s="4"/>
      <c r="W23" s="4"/>
    </row>
    <row r="24">
      <c r="A24" s="5" t="s">
        <v>14</v>
      </c>
      <c r="B24" s="26">
        <f>'Data Entry'!D3</f>
        <v>1425</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https://www.zillow.com/homedetails/29-Ivy-St-N-Asheville-NC-28804/2086083169_zpid/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39.0</v>
      </c>
      <c r="E2" s="34"/>
      <c r="F2" s="32" t="s">
        <v>15</v>
      </c>
      <c r="G2" s="35" t="s">
        <v>17</v>
      </c>
      <c r="H2" s="34"/>
      <c r="J2" s="36"/>
      <c r="K2" s="37"/>
    </row>
    <row r="3">
      <c r="B3" s="31"/>
      <c r="C3" s="38" t="s">
        <v>18</v>
      </c>
      <c r="D3" s="39">
        <v>1425.0</v>
      </c>
      <c r="E3" s="40"/>
      <c r="F3" s="31"/>
      <c r="G3" s="31"/>
      <c r="H3" s="41"/>
      <c r="J3" s="36"/>
      <c r="K3" s="37"/>
    </row>
    <row r="4">
      <c r="B4" s="42" t="s">
        <v>19</v>
      </c>
      <c r="C4" s="43" t="s">
        <v>20</v>
      </c>
      <c r="D4" s="43" t="s">
        <v>21</v>
      </c>
      <c r="E4" s="43" t="s">
        <v>22</v>
      </c>
      <c r="F4" s="43" t="s">
        <v>7</v>
      </c>
      <c r="G4" s="43" t="s">
        <v>8</v>
      </c>
      <c r="H4" s="44" t="s">
        <v>9</v>
      </c>
      <c r="J4" s="36" t="s">
        <v>4</v>
      </c>
      <c r="K4" s="37">
        <f>SUM(C5:C100)</f>
        <v>68</v>
      </c>
    </row>
    <row r="5">
      <c r="B5" s="45">
        <v>45864.0</v>
      </c>
      <c r="C5" s="31">
        <v>14.0</v>
      </c>
      <c r="D5" s="31">
        <v>8.0</v>
      </c>
      <c r="E5" s="31">
        <v>0.0</v>
      </c>
      <c r="F5" s="31">
        <v>0.0</v>
      </c>
      <c r="G5" s="46"/>
      <c r="H5" s="47" t="s">
        <v>23</v>
      </c>
      <c r="J5" s="36" t="s">
        <v>5</v>
      </c>
      <c r="K5" s="37">
        <f>SUM(D5:D100)</f>
        <v>43</v>
      </c>
    </row>
    <row r="6">
      <c r="B6" s="45">
        <v>45871.0</v>
      </c>
      <c r="C6" s="31">
        <v>12.0</v>
      </c>
      <c r="D6" s="31">
        <v>6.0</v>
      </c>
      <c r="E6" s="31">
        <v>0.0</v>
      </c>
      <c r="F6" s="31">
        <v>0.0</v>
      </c>
      <c r="G6" s="46"/>
      <c r="H6" s="47" t="s">
        <v>24</v>
      </c>
      <c r="J6" s="36" t="s">
        <v>6</v>
      </c>
      <c r="K6" s="37">
        <f>SUM(E:E)</f>
        <v>25</v>
      </c>
    </row>
    <row r="7">
      <c r="B7" s="45">
        <v>45878.0</v>
      </c>
      <c r="C7" s="31">
        <v>4.0</v>
      </c>
      <c r="D7" s="31">
        <v>4.0</v>
      </c>
      <c r="E7" s="31">
        <v>3.0</v>
      </c>
      <c r="F7" s="31">
        <v>3.0</v>
      </c>
      <c r="G7" s="46"/>
      <c r="H7" s="47" t="s">
        <v>25</v>
      </c>
      <c r="J7" s="36" t="s">
        <v>7</v>
      </c>
      <c r="K7" s="37">
        <f>SUM(F5:F100)</f>
        <v>22</v>
      </c>
    </row>
    <row r="8">
      <c r="B8" s="45">
        <v>45885.0</v>
      </c>
      <c r="C8" s="31">
        <v>13.0</v>
      </c>
      <c r="D8" s="31">
        <v>6.0</v>
      </c>
      <c r="E8" s="31">
        <v>3.0</v>
      </c>
      <c r="F8" s="31">
        <v>2.0</v>
      </c>
      <c r="G8" s="46"/>
      <c r="H8" s="47" t="s">
        <v>26</v>
      </c>
      <c r="J8" s="48" t="s">
        <v>8</v>
      </c>
      <c r="K8" s="37">
        <f>SUM(G5:G100)</f>
        <v>2</v>
      </c>
    </row>
    <row r="9">
      <c r="B9" s="45">
        <v>45892.0</v>
      </c>
      <c r="C9" s="31">
        <v>11.0</v>
      </c>
      <c r="D9" s="31">
        <v>10.0</v>
      </c>
      <c r="E9" s="31">
        <v>10.0</v>
      </c>
      <c r="F9" s="31">
        <v>9.0</v>
      </c>
      <c r="G9" s="46"/>
      <c r="H9" s="47" t="s">
        <v>27</v>
      </c>
      <c r="K9" s="37"/>
    </row>
    <row r="10">
      <c r="B10" s="45">
        <v>45899.0</v>
      </c>
      <c r="C10" s="31">
        <v>6.0</v>
      </c>
      <c r="D10" s="31">
        <v>5.0</v>
      </c>
      <c r="E10" s="31">
        <v>5.0</v>
      </c>
      <c r="F10" s="31">
        <v>5.0</v>
      </c>
      <c r="G10" s="46"/>
      <c r="H10" s="49" t="s">
        <v>28</v>
      </c>
      <c r="J10" s="30" t="s">
        <v>29</v>
      </c>
    </row>
    <row r="11">
      <c r="B11" s="45">
        <v>45911.0</v>
      </c>
      <c r="C11" s="31">
        <v>8.0</v>
      </c>
      <c r="D11" s="31">
        <v>4.0</v>
      </c>
      <c r="E11" s="31">
        <v>4.0</v>
      </c>
      <c r="F11" s="31">
        <v>3.0</v>
      </c>
      <c r="G11" s="31">
        <v>2.0</v>
      </c>
      <c r="H11" s="47" t="s">
        <v>30</v>
      </c>
      <c r="J11" s="36" t="s">
        <v>4</v>
      </c>
      <c r="K11" s="50">
        <f>AVERAGE(C5:C100)</f>
        <v>9.714285714</v>
      </c>
    </row>
    <row r="12">
      <c r="B12" s="51"/>
      <c r="C12" s="46"/>
      <c r="D12" s="46"/>
      <c r="E12" s="46"/>
      <c r="F12" s="46"/>
      <c r="G12" s="46"/>
      <c r="H12" s="52"/>
      <c r="J12" s="36" t="s">
        <v>5</v>
      </c>
      <c r="K12" s="50">
        <f>AVERAGE(D5:D100)</f>
        <v>6.142857143</v>
      </c>
    </row>
    <row r="13">
      <c r="B13" s="51"/>
      <c r="C13" s="46"/>
      <c r="D13" s="46"/>
      <c r="E13" s="46"/>
      <c r="F13" s="46"/>
      <c r="G13" s="46"/>
      <c r="H13" s="52"/>
      <c r="J13" s="36" t="s">
        <v>6</v>
      </c>
      <c r="K13" s="50">
        <f>AVERAGE(E5:E100)</f>
        <v>3.571428571</v>
      </c>
    </row>
    <row r="14">
      <c r="B14" s="51"/>
      <c r="C14" s="46"/>
      <c r="D14" s="46"/>
      <c r="E14" s="46"/>
      <c r="F14" s="46"/>
      <c r="G14" s="46"/>
      <c r="H14" s="52"/>
      <c r="J14" s="36" t="s">
        <v>7</v>
      </c>
      <c r="K14" s="50">
        <f>AVERAGE(F5:F100)</f>
        <v>3.142857143</v>
      </c>
    </row>
    <row r="15">
      <c r="B15" s="51"/>
      <c r="C15" s="46"/>
      <c r="D15" s="46"/>
      <c r="E15" s="46"/>
      <c r="F15" s="46"/>
      <c r="G15" s="46"/>
      <c r="H15" s="52"/>
      <c r="J15" s="48" t="s">
        <v>8</v>
      </c>
      <c r="K15" s="53">
        <f>AVERAGE(G5:G100)</f>
        <v>2</v>
      </c>
    </row>
    <row r="16">
      <c r="B16" s="51"/>
      <c r="C16" s="46"/>
      <c r="D16" s="46"/>
      <c r="E16" s="46"/>
      <c r="F16" s="46"/>
      <c r="G16" s="46"/>
      <c r="H16" s="52"/>
    </row>
    <row r="17">
      <c r="B17" s="51"/>
      <c r="C17" s="46"/>
      <c r="D17" s="46"/>
      <c r="E17" s="46"/>
      <c r="F17" s="46"/>
      <c r="G17" s="46"/>
      <c r="H17" s="52"/>
    </row>
    <row r="18">
      <c r="B18" s="51"/>
      <c r="C18" s="46"/>
      <c r="D18" s="46"/>
      <c r="E18" s="46"/>
      <c r="F18" s="46"/>
      <c r="G18" s="46"/>
      <c r="H18" s="52"/>
    </row>
    <row r="19">
      <c r="B19" s="51"/>
      <c r="C19" s="46"/>
      <c r="D19" s="46"/>
      <c r="E19" s="46"/>
      <c r="F19" s="46"/>
      <c r="G19" s="46"/>
      <c r="H19" s="52"/>
    </row>
    <row r="20">
      <c r="B20" s="51"/>
      <c r="C20" s="46"/>
      <c r="D20" s="46"/>
      <c r="E20" s="46"/>
      <c r="F20" s="46"/>
      <c r="G20" s="46"/>
      <c r="H20" s="52"/>
    </row>
    <row r="21">
      <c r="B21" s="51"/>
      <c r="C21" s="46"/>
      <c r="D21" s="46"/>
      <c r="E21" s="46"/>
      <c r="F21" s="46"/>
      <c r="G21" s="46"/>
      <c r="H21" s="52"/>
    </row>
    <row r="22">
      <c r="B22" s="51"/>
      <c r="C22" s="46"/>
      <c r="D22" s="46"/>
      <c r="E22" s="46"/>
      <c r="F22" s="46"/>
      <c r="G22" s="46"/>
      <c r="H22" s="52"/>
    </row>
    <row r="23">
      <c r="B23" s="51"/>
      <c r="C23" s="46"/>
      <c r="D23" s="46"/>
      <c r="E23" s="46"/>
      <c r="F23" s="46"/>
      <c r="G23" s="46"/>
      <c r="H23" s="52"/>
    </row>
    <row r="24">
      <c r="B24" s="51"/>
      <c r="C24" s="46"/>
      <c r="D24" s="46"/>
      <c r="E24" s="46"/>
      <c r="F24" s="46"/>
      <c r="G24" s="46"/>
      <c r="H24" s="52"/>
    </row>
    <row r="25">
      <c r="B25" s="51"/>
      <c r="C25" s="46"/>
      <c r="D25" s="46"/>
      <c r="E25" s="46"/>
      <c r="F25" s="46"/>
      <c r="G25" s="46"/>
      <c r="H25" s="52"/>
    </row>
    <row r="26">
      <c r="B26" s="51"/>
      <c r="C26" s="46"/>
      <c r="D26" s="46"/>
      <c r="E26" s="46"/>
      <c r="F26" s="46"/>
      <c r="G26" s="46"/>
      <c r="H26" s="52"/>
    </row>
    <row r="27">
      <c r="B27" s="51"/>
      <c r="C27" s="46"/>
      <c r="D27" s="46"/>
      <c r="E27" s="46"/>
      <c r="F27" s="46"/>
      <c r="G27" s="46"/>
      <c r="H27" s="52"/>
    </row>
    <row r="28">
      <c r="B28" s="51"/>
      <c r="C28" s="46"/>
      <c r="D28" s="46"/>
      <c r="E28" s="46"/>
      <c r="F28" s="46"/>
      <c r="G28" s="46"/>
      <c r="H28" s="52"/>
    </row>
    <row r="29">
      <c r="B29" s="51"/>
      <c r="C29" s="46"/>
      <c r="D29" s="46"/>
      <c r="E29" s="46"/>
      <c r="F29" s="46"/>
      <c r="G29" s="46"/>
      <c r="H29" s="52"/>
    </row>
    <row r="30">
      <c r="B30" s="51"/>
      <c r="C30" s="46"/>
      <c r="D30" s="46"/>
      <c r="E30" s="46"/>
      <c r="F30" s="46"/>
      <c r="G30" s="46"/>
      <c r="H30" s="52"/>
    </row>
    <row r="31">
      <c r="B31" s="46"/>
      <c r="C31" s="46"/>
      <c r="D31" s="46"/>
      <c r="E31" s="46"/>
      <c r="F31" s="46"/>
      <c r="G31" s="46"/>
      <c r="H31" s="54"/>
    </row>
    <row r="32">
      <c r="B32" s="46"/>
      <c r="C32" s="46"/>
      <c r="D32" s="46"/>
      <c r="E32" s="46"/>
      <c r="F32" s="46"/>
      <c r="G32" s="46"/>
      <c r="H32" s="54"/>
    </row>
    <row r="33">
      <c r="B33" s="46"/>
      <c r="C33" s="46"/>
      <c r="D33" s="46"/>
      <c r="E33" s="46"/>
      <c r="F33" s="46"/>
      <c r="G33" s="46"/>
      <c r="H33" s="54"/>
    </row>
    <row r="34">
      <c r="B34" s="46"/>
      <c r="C34" s="46"/>
      <c r="D34" s="46"/>
      <c r="E34" s="46"/>
      <c r="F34" s="46"/>
      <c r="G34" s="46"/>
      <c r="H34" s="54"/>
    </row>
    <row r="35">
      <c r="B35" s="46"/>
      <c r="C35" s="46"/>
      <c r="D35" s="46"/>
      <c r="E35" s="46"/>
      <c r="F35" s="46"/>
      <c r="G35" s="46"/>
      <c r="H35" s="54"/>
    </row>
    <row r="36">
      <c r="B36" s="46"/>
      <c r="C36" s="46"/>
      <c r="D36" s="46"/>
      <c r="E36" s="46"/>
      <c r="F36" s="46"/>
      <c r="G36" s="46"/>
      <c r="H36" s="54"/>
    </row>
    <row r="37">
      <c r="B37" s="46"/>
      <c r="C37" s="46"/>
      <c r="D37" s="46"/>
      <c r="E37" s="46"/>
      <c r="F37" s="46"/>
      <c r="G37" s="46"/>
      <c r="H37" s="54"/>
    </row>
    <row r="38">
      <c r="B38" s="46"/>
      <c r="C38" s="46"/>
      <c r="D38" s="46"/>
      <c r="E38" s="46"/>
      <c r="F38" s="46"/>
      <c r="G38" s="46"/>
      <c r="H38" s="54"/>
    </row>
    <row r="39">
      <c r="B39" s="46"/>
      <c r="C39" s="46"/>
      <c r="D39" s="46"/>
      <c r="E39" s="46"/>
      <c r="F39" s="46"/>
      <c r="G39" s="46"/>
      <c r="H39" s="54"/>
    </row>
    <row r="40">
      <c r="H40" s="54"/>
    </row>
    <row r="41">
      <c r="H41" s="54"/>
    </row>
    <row r="42">
      <c r="H42" s="54"/>
    </row>
    <row r="43">
      <c r="H43" s="54"/>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2" ref="G2"/>
  </hyperlinks>
  <drawing r:id="rId3"/>
  <legacyDrawing r:id="rId4"/>
</worksheet>
</file>